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_card" sheetId="1" state="visible" r:id="rId1"/>
    <sheet xmlns:r="http://schemas.openxmlformats.org/officeDocument/2006/relationships" name="questions" sheetId="2" state="visible" r:id="rId2"/>
    <sheet xmlns:r="http://schemas.openxmlformats.org/officeDocument/2006/relationships" name="statist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6" customWidth="1" min="1" max="1"/>
    <col width="105" customWidth="1" min="2" max="2"/>
  </cols>
  <sheetData>
    <row r="1">
      <c r="A1" s="1" t="inlineStr">
        <is>
          <t>항목</t>
        </is>
      </c>
      <c r="B1" s="1" t="inlineStr">
        <is>
          <t>내용</t>
        </is>
      </c>
    </row>
    <row r="2">
      <c r="A2" s="2" t="inlineStr">
        <is>
          <t>dataset_name</t>
        </is>
      </c>
      <c r="B2" s="2" t="inlineStr">
        <is>
          <t>Bank-Onto-Bench</t>
        </is>
      </c>
    </row>
    <row r="3">
      <c r="A3" s="2" t="inlineStr">
        <is>
          <t>version</t>
        </is>
      </c>
      <c r="B3" s="2" t="inlineStr">
        <is>
          <t>2.0</t>
        </is>
      </c>
    </row>
    <row r="4">
      <c r="A4" s="2" t="inlineStr">
        <is>
          <t>size</t>
        </is>
      </c>
      <c r="B4" s="2" t="inlineStr">
        <is>
          <t>1,000문항 (공시형 700 : 규정형 300 = 7:3)</t>
        </is>
      </c>
    </row>
    <row r="5">
      <c r="A5" s="2" t="inlineStr">
        <is>
          <t>description</t>
        </is>
      </c>
      <c r="B5" s="2" t="inlineStr">
        <is>
          <t>한국 은행 도메인 QA 벤치마크. 정답은 전부 공개 원문(금감원 공시 필드, 법령 조문, 시행일 메타데이터)에서 기계 산출 — LLM 불개입, 가상 개체 없음.</t>
        </is>
      </c>
    </row>
    <row r="6">
      <c r="A6" s="2" t="inlineStr">
        <is>
          <t>categories</t>
        </is>
      </c>
      <c r="B6" s="2" t="inlineStr">
        <is>
          <t>예금/대출/카드/외환/퇴직연금/펀드/공통</t>
        </is>
      </c>
    </row>
    <row r="7">
      <c r="A7" s="2" t="inlineStr">
        <is>
          <t>sources</t>
        </is>
      </c>
      <c r="B7" s="2" t="inlineStr">
        <is>
          <t>금융감독원 금융상품통합비교공시 Open API (202608, 은행권 19개사 215상품) · 국가법령정보센터 Open API (현행 법령 7종: 은행법, 예금자보호법, 금소법, 여신전문금융업법, 외국환거래법, 근로자퇴직급여 보장법, 자본시장법)</t>
        </is>
      </c>
    </row>
    <row r="8">
      <c r="A8" s="2" t="inlineStr">
        <is>
          <t>answer_types</t>
        </is>
      </c>
      <c r="B8" s="2" t="inlineStr">
        <is>
          <t>boolean(YES/NO 균형) · numeric · span · abstain(공시 부재 — 보류 정답)</t>
        </is>
      </c>
    </row>
    <row r="9">
      <c r="A9" s="2" t="inlineStr">
        <is>
          <t>license</t>
        </is>
      </c>
      <c r="B9" s="2" t="inlineStr">
        <is>
          <t>원천 데이터: 공공누리 제1유형(출처표시). 문항: 저장소 소유자.</t>
        </is>
      </c>
    </row>
    <row r="10">
      <c r="A10" s="2" t="inlineStr">
        <is>
          <t>regeneration</t>
        </is>
      </c>
      <c r="B10" s="2" t="inlineStr">
        <is>
          <t>python bench/fetch_laws.py &amp;&amp; python bench/generate.py (결정적)</t>
        </is>
      </c>
    </row>
    <row r="11">
      <c r="A11" s="2" t="inlineStr">
        <is>
          <t>date</t>
        </is>
      </c>
      <c r="B11" s="2" t="inlineStr">
        <is>
          <t>2026-08-17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0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9" customWidth="1" min="3" max="3"/>
    <col width="16" customWidth="1" min="4" max="4"/>
    <col width="18" customWidth="1" min="5" max="5"/>
    <col width="60" customWidth="1" min="6" max="6"/>
    <col width="9" customWidth="1" min="7" max="7"/>
    <col width="24" customWidth="1" min="8" max="8"/>
    <col width="6" customWidth="1" min="9" max="9"/>
    <col width="34" customWidth="1" min="10" max="10"/>
    <col width="26" customWidth="1" min="11" max="11"/>
    <col width="42" customWidth="1" min="12" max="12"/>
  </cols>
  <sheetData>
    <row r="1">
      <c r="A1" s="1" t="inlineStr">
        <is>
          <t>id</t>
        </is>
      </c>
      <c r="B1" s="1" t="inlineStr">
        <is>
          <t>qtype</t>
        </is>
      </c>
      <c r="C1" s="1" t="inlineStr">
        <is>
          <t>category</t>
        </is>
      </c>
      <c r="D1" s="1" t="inlineStr">
        <is>
          <t>subcategory</t>
        </is>
      </c>
      <c r="E1" s="1" t="inlineStr">
        <is>
          <t>template</t>
        </is>
      </c>
      <c r="F1" s="1" t="inlineStr">
        <is>
          <t>question</t>
        </is>
      </c>
      <c r="G1" s="1" t="inlineStr">
        <is>
          <t>answer_type</t>
        </is>
      </c>
      <c r="H1" s="1" t="inlineStr">
        <is>
          <t>answer</t>
        </is>
      </c>
      <c r="I1" s="1" t="inlineStr">
        <is>
          <t>unit</t>
        </is>
      </c>
      <c r="J1" s="1" t="inlineStr">
        <is>
          <t>evidence_source</t>
        </is>
      </c>
      <c r="K1" s="1" t="inlineStr">
        <is>
          <t>evidence_locator</t>
        </is>
      </c>
      <c r="L1" s="1" t="inlineStr">
        <is>
          <t>evidence_text</t>
        </is>
      </c>
    </row>
    <row r="2">
      <c r="A2" s="2" t="inlineStr">
        <is>
          <t>PRD-0001</t>
        </is>
      </c>
      <c r="B2" s="2" t="inlineStr">
        <is>
          <t>공시형</t>
        </is>
      </c>
      <c r="C2" s="2" t="inlineStr">
        <is>
          <t>예금</t>
        </is>
      </c>
      <c r="D2" s="2" t="inlineStr">
        <is>
          <t>정기예금</t>
        </is>
      </c>
      <c r="E2" s="2" t="inlineStr">
        <is>
          <t>base_rate_lookup</t>
        </is>
      </c>
      <c r="F2" s="2" t="inlineStr">
        <is>
          <t>경남은행 'BNK더조은정기예금'에 12개월 만기로 가입하면 기본금리는 연 몇 %가 적용되는가?</t>
        </is>
      </c>
      <c r="G2" s="2" t="inlineStr">
        <is>
          <t>numeric</t>
        </is>
      </c>
      <c r="H2" s="2" t="inlineStr">
        <is>
          <t>2.05</t>
        </is>
      </c>
      <c r="I2" s="2" t="inlineStr">
        <is>
          <t>%</t>
        </is>
      </c>
      <c r="J2" s="2" t="inlineStr">
        <is>
          <t>금융감독원 금융상품통합비교공시 Open API (finlife.fss.or.kr), 202608</t>
        </is>
      </c>
      <c r="K2" s="2" t="inlineStr">
        <is>
          <t>경남은행:21001115:intr_rate(12개월)</t>
        </is>
      </c>
      <c r="L2" s="2" t="inlineStr">
        <is>
          <t>2.05</t>
        </is>
      </c>
    </row>
    <row r="3">
      <c r="A3" s="2" t="inlineStr">
        <is>
          <t>PRD-0002</t>
        </is>
      </c>
      <c r="B3" s="2" t="inlineStr">
        <is>
          <t>공시형</t>
        </is>
      </c>
      <c r="C3" s="2" t="inlineStr">
        <is>
          <t>예금</t>
        </is>
      </c>
      <c r="D3" s="2" t="inlineStr">
        <is>
          <t>정기예금</t>
        </is>
      </c>
      <c r="E3" s="2" t="inlineStr">
        <is>
          <t>base_rate_lookup</t>
        </is>
      </c>
      <c r="F3" s="2" t="inlineStr">
        <is>
          <t>12개월 만기 기준으로 경남은행 'The든든예금(시즌2)'의 기본금리는 연 몇 %인가?</t>
        </is>
      </c>
      <c r="G3" s="2" t="inlineStr">
        <is>
          <t>numeric</t>
        </is>
      </c>
      <c r="H3" s="2" t="inlineStr">
        <is>
          <t>2.3</t>
        </is>
      </c>
      <c r="I3" s="2" t="inlineStr">
        <is>
          <t>%</t>
        </is>
      </c>
      <c r="J3" s="2" t="inlineStr">
        <is>
          <t>금융감독원 금융상품통합비교공시 Open API (finlife.fss.or.kr), 202608</t>
        </is>
      </c>
      <c r="K3" s="2" t="inlineStr">
        <is>
          <t>경남은행:21001280:intr_rate(12개월)</t>
        </is>
      </c>
      <c r="L3" s="2" t="inlineStr">
        <is>
          <t>2.3</t>
        </is>
      </c>
    </row>
    <row r="4">
      <c r="A4" s="2" t="inlineStr">
        <is>
          <t>PRD-0003</t>
        </is>
      </c>
      <c r="B4" s="2" t="inlineStr">
        <is>
          <t>공시형</t>
        </is>
      </c>
      <c r="C4" s="2" t="inlineStr">
        <is>
          <t>예금</t>
        </is>
      </c>
      <c r="D4" s="2" t="inlineStr">
        <is>
          <t>정기예금</t>
        </is>
      </c>
      <c r="E4" s="2" t="inlineStr">
        <is>
          <t>base_rate_lookup</t>
        </is>
      </c>
      <c r="F4" s="2" t="inlineStr">
        <is>
          <t>경남은행 'The파트너예금'에 12개월 만기로 가입하면 기본금리는 연 몇 %가 적용되는가?</t>
        </is>
      </c>
      <c r="G4" s="2" t="inlineStr">
        <is>
          <t>numeric</t>
        </is>
      </c>
      <c r="H4" s="2" t="inlineStr">
        <is>
          <t>3.15</t>
        </is>
      </c>
      <c r="I4" s="2" t="inlineStr">
        <is>
          <t>%</t>
        </is>
      </c>
      <c r="J4" s="2" t="inlineStr">
        <is>
          <t>금융감독원 금융상품통합비교공시 Open API (finlife.fss.or.kr), 202608</t>
        </is>
      </c>
      <c r="K4" s="2" t="inlineStr">
        <is>
          <t>경남은행:21001285:intr_rate(12개월)</t>
        </is>
      </c>
      <c r="L4" s="2" t="inlineStr">
        <is>
          <t>3.15</t>
        </is>
      </c>
    </row>
    <row r="5">
      <c r="A5" s="2" t="inlineStr">
        <is>
          <t>PRD-0004</t>
        </is>
      </c>
      <c r="B5" s="2" t="inlineStr">
        <is>
          <t>공시형</t>
        </is>
      </c>
      <c r="C5" s="2" t="inlineStr">
        <is>
          <t>예금</t>
        </is>
      </c>
      <c r="D5" s="2" t="inlineStr">
        <is>
          <t>정기예금</t>
        </is>
      </c>
      <c r="E5" s="2" t="inlineStr">
        <is>
          <t>base_rate_lookup</t>
        </is>
      </c>
      <c r="F5" s="2" t="inlineStr">
        <is>
          <t>광주은행 '미즈월복리정기예금'의 12개월 만기 기본금리는 연 몇 %인가?</t>
        </is>
      </c>
      <c r="G5" s="2" t="inlineStr">
        <is>
          <t>numeric</t>
        </is>
      </c>
      <c r="H5" s="2" t="inlineStr">
        <is>
          <t>3.33</t>
        </is>
      </c>
      <c r="I5" s="2" t="inlineStr">
        <is>
          <t>%</t>
        </is>
      </c>
      <c r="J5" s="2" t="inlineStr">
        <is>
          <t>금융감독원 금융상품통합비교공시 Open API (finlife.fss.or.kr), 202608</t>
        </is>
      </c>
      <c r="K5" s="2" t="inlineStr">
        <is>
          <t>광주은행:TD11300027000:intr_rate(12개월)</t>
        </is>
      </c>
      <c r="L5" s="2" t="inlineStr">
        <is>
          <t>3.33</t>
        </is>
      </c>
    </row>
    <row r="6">
      <c r="A6" s="2" t="inlineStr">
        <is>
          <t>PRD-0005</t>
        </is>
      </c>
      <c r="B6" s="2" t="inlineStr">
        <is>
          <t>공시형</t>
        </is>
      </c>
      <c r="C6" s="2" t="inlineStr">
        <is>
          <t>예금</t>
        </is>
      </c>
      <c r="D6" s="2" t="inlineStr">
        <is>
          <t>정기예금</t>
        </is>
      </c>
      <c r="E6" s="2" t="inlineStr">
        <is>
          <t>base_rate_lookup</t>
        </is>
      </c>
      <c r="F6" s="2" t="inlineStr">
        <is>
          <t>광주은행 '스마트모아Dream정기예금'의 12개월 만기 기본금리는 연 몇 %인가?</t>
        </is>
      </c>
      <c r="G6" s="2" t="inlineStr">
        <is>
          <t>numeric</t>
        </is>
      </c>
      <c r="H6" s="2" t="inlineStr">
        <is>
          <t>3.23</t>
        </is>
      </c>
      <c r="I6" s="2" t="inlineStr">
        <is>
          <t>%</t>
        </is>
      </c>
      <c r="J6" s="2" t="inlineStr">
        <is>
          <t>금융감독원 금융상품통합비교공시 Open API (finlife.fss.or.kr), 202608</t>
        </is>
      </c>
      <c r="K6" s="2" t="inlineStr">
        <is>
          <t>광주은행:TD11300031000:intr_rate(12개월)</t>
        </is>
      </c>
      <c r="L6" s="2" t="inlineStr">
        <is>
          <t>3.23</t>
        </is>
      </c>
    </row>
    <row r="7">
      <c r="A7" s="2" t="inlineStr">
        <is>
          <t>PRD-0006</t>
        </is>
      </c>
      <c r="B7" s="2" t="inlineStr">
        <is>
          <t>공시형</t>
        </is>
      </c>
      <c r="C7" s="2" t="inlineStr">
        <is>
          <t>예금</t>
        </is>
      </c>
      <c r="D7" s="2" t="inlineStr">
        <is>
          <t>정기예금</t>
        </is>
      </c>
      <c r="E7" s="2" t="inlineStr">
        <is>
          <t>base_rate_lookup</t>
        </is>
      </c>
      <c r="F7" s="2" t="inlineStr">
        <is>
          <t>광주은행 '굿스타트예금'의 1년(12개월) 만기 기본금리로 공시된 값은 연 몇 %인가?</t>
        </is>
      </c>
      <c r="G7" s="2" t="inlineStr">
        <is>
          <t>numeric</t>
        </is>
      </c>
      <c r="H7" s="2" t="inlineStr">
        <is>
          <t>3.13</t>
        </is>
      </c>
      <c r="I7" s="2" t="inlineStr">
        <is>
          <t>%</t>
        </is>
      </c>
      <c r="J7" s="2" t="inlineStr">
        <is>
          <t>금융감독원 금융상품통합비교공시 Open API (finlife.fss.or.kr), 202608</t>
        </is>
      </c>
      <c r="K7" s="2" t="inlineStr">
        <is>
          <t>광주은행:TD11300035000:intr_rate(12개월)</t>
        </is>
      </c>
      <c r="L7" s="2" t="inlineStr">
        <is>
          <t>3.13</t>
        </is>
      </c>
    </row>
    <row r="8">
      <c r="A8" s="2" t="inlineStr">
        <is>
          <t>PRD-0007</t>
        </is>
      </c>
      <c r="B8" s="2" t="inlineStr">
        <is>
          <t>공시형</t>
        </is>
      </c>
      <c r="C8" s="2" t="inlineStr">
        <is>
          <t>예금</t>
        </is>
      </c>
      <c r="D8" s="2" t="inlineStr">
        <is>
          <t>정기예금</t>
        </is>
      </c>
      <c r="E8" s="2" t="inlineStr">
        <is>
          <t>base_rate_lookup</t>
        </is>
      </c>
      <c r="F8" s="2" t="inlineStr">
        <is>
          <t>광주은행 'The플러스예금'에 12개월 만기로 가입하면 기본금리는 연 몇 %가 적용되는가?</t>
        </is>
      </c>
      <c r="G8" s="2" t="inlineStr">
        <is>
          <t>numeric</t>
        </is>
      </c>
      <c r="H8" s="2" t="inlineStr">
        <is>
          <t>2.7</t>
        </is>
      </c>
      <c r="I8" s="2" t="inlineStr">
        <is>
          <t>%</t>
        </is>
      </c>
      <c r="J8" s="2" t="inlineStr">
        <is>
          <t>금융감독원 금융상품통합비교공시 Open API (finlife.fss.or.kr), 202608</t>
        </is>
      </c>
      <c r="K8" s="2" t="inlineStr">
        <is>
          <t>광주은행:TD11300036000:intr_rate(12개월)</t>
        </is>
      </c>
      <c r="L8" s="2" t="inlineStr">
        <is>
          <t>2.7</t>
        </is>
      </c>
    </row>
    <row r="9">
      <c r="A9" s="2" t="inlineStr">
        <is>
          <t>PRD-0008</t>
        </is>
      </c>
      <c r="B9" s="2" t="inlineStr">
        <is>
          <t>공시형</t>
        </is>
      </c>
      <c r="C9" s="2" t="inlineStr">
        <is>
          <t>예금</t>
        </is>
      </c>
      <c r="D9" s="2" t="inlineStr">
        <is>
          <t>정기예금</t>
        </is>
      </c>
      <c r="E9" s="2" t="inlineStr">
        <is>
          <t>base_rate_lookup</t>
        </is>
      </c>
      <c r="F9" s="2" t="inlineStr">
        <is>
          <t>12개월 만기 기준으로 국민은행 'KB Star 정기예금'의 기본금리는 연 몇 %인가?</t>
        </is>
      </c>
      <c r="G9" s="2" t="inlineStr">
        <is>
          <t>numeric</t>
        </is>
      </c>
      <c r="H9" s="2" t="inlineStr">
        <is>
          <t>2.4</t>
        </is>
      </c>
      <c r="I9" s="2" t="inlineStr">
        <is>
          <t>%</t>
        </is>
      </c>
      <c r="J9" s="2" t="inlineStr">
        <is>
          <t>금융감독원 금융상품통합비교공시 Open API (finlife.fss.or.kr), 202608</t>
        </is>
      </c>
      <c r="K9" s="2" t="inlineStr">
        <is>
          <t>국민은행:010300100335:intr_rate(12개월)</t>
        </is>
      </c>
      <c r="L9" s="2" t="inlineStr">
        <is>
          <t>2.4</t>
        </is>
      </c>
    </row>
    <row r="10">
      <c r="A10" s="2" t="inlineStr">
        <is>
          <t>PRD-0009</t>
        </is>
      </c>
      <c r="B10" s="2" t="inlineStr">
        <is>
          <t>공시형</t>
        </is>
      </c>
      <c r="C10" s="2" t="inlineStr">
        <is>
          <t>예금</t>
        </is>
      </c>
      <c r="D10" s="2" t="inlineStr">
        <is>
          <t>정기예금</t>
        </is>
      </c>
      <c r="E10" s="2" t="inlineStr">
        <is>
          <t>base_rate_lookup</t>
        </is>
      </c>
      <c r="F10" s="2" t="inlineStr">
        <is>
          <t>12개월 만기 기준으로 농협은행주식회사 'NH왈츠회전예금 II'의 기본금리는 연 몇 %인가?</t>
        </is>
      </c>
      <c r="G10" s="2" t="inlineStr">
        <is>
          <t>numeric</t>
        </is>
      </c>
      <c r="H10" s="2" t="inlineStr">
        <is>
          <t>3.15</t>
        </is>
      </c>
      <c r="I10" s="2" t="inlineStr">
        <is>
          <t>%</t>
        </is>
      </c>
      <c r="J10" s="2" t="inlineStr">
        <is>
          <t>금융감독원 금융상품통합비교공시 Open API (finlife.fss.or.kr), 202608</t>
        </is>
      </c>
      <c r="K10" s="2" t="inlineStr">
        <is>
          <t>농협은행주식회사:10-003-1225-0001:intr_rate(12개월)</t>
        </is>
      </c>
      <c r="L10" s="2" t="inlineStr">
        <is>
          <t>3.15</t>
        </is>
      </c>
    </row>
    <row r="11">
      <c r="A11" s="2" t="inlineStr">
        <is>
          <t>PRD-0010</t>
        </is>
      </c>
      <c r="B11" s="2" t="inlineStr">
        <is>
          <t>공시형</t>
        </is>
      </c>
      <c r="C11" s="2" t="inlineStr">
        <is>
          <t>예금</t>
        </is>
      </c>
      <c r="D11" s="2" t="inlineStr">
        <is>
          <t>정기예금</t>
        </is>
      </c>
      <c r="E11" s="2" t="inlineStr">
        <is>
          <t>base_rate_lookup</t>
        </is>
      </c>
      <c r="F11" s="2" t="inlineStr">
        <is>
          <t>농협은행주식회사 'NH내가Green초록세상예금'의 12개월 만기 기본금리는 연 몇 %인가?</t>
        </is>
      </c>
      <c r="G11" s="2" t="inlineStr">
        <is>
          <t>numeric</t>
        </is>
      </c>
      <c r="H11" s="2" t="inlineStr">
        <is>
          <t>2.45</t>
        </is>
      </c>
      <c r="I11" s="2" t="inlineStr">
        <is>
          <t>%</t>
        </is>
      </c>
      <c r="J11" s="2" t="inlineStr">
        <is>
          <t>금융감독원 금융상품통합비교공시 Open API (finlife.fss.or.kr), 202608</t>
        </is>
      </c>
      <c r="K11" s="2" t="inlineStr">
        <is>
          <t>농협은행주식회사:10-003-1381-0001:intr_rate(12개월)</t>
        </is>
      </c>
      <c r="L11" s="2" t="inlineStr">
        <is>
          <t>2.45</t>
        </is>
      </c>
    </row>
    <row r="12">
      <c r="A12" s="2" t="inlineStr">
        <is>
          <t>PRD-0011</t>
        </is>
      </c>
      <c r="B12" s="2" t="inlineStr">
        <is>
          <t>공시형</t>
        </is>
      </c>
      <c r="C12" s="2" t="inlineStr">
        <is>
          <t>예금</t>
        </is>
      </c>
      <c r="D12" s="2" t="inlineStr">
        <is>
          <t>정기예금</t>
        </is>
      </c>
      <c r="E12" s="2" t="inlineStr">
        <is>
          <t>base_rate_lookup</t>
        </is>
      </c>
      <c r="F12" s="2" t="inlineStr">
        <is>
          <t>농협은행주식회사 'NH올원e예금'의 1년(12개월) 만기 기본금리로 공시된 값은 연 몇 %인가?</t>
        </is>
      </c>
      <c r="G12" s="2" t="inlineStr">
        <is>
          <t>numeric</t>
        </is>
      </c>
      <c r="H12" s="2" t="inlineStr">
        <is>
          <t>3.25</t>
        </is>
      </c>
      <c r="I12" s="2" t="inlineStr">
        <is>
          <t>%</t>
        </is>
      </c>
      <c r="J12" s="2" t="inlineStr">
        <is>
          <t>금융감독원 금융상품통합비교공시 Open API (finlife.fss.or.kr), 202608</t>
        </is>
      </c>
      <c r="K12" s="2" t="inlineStr">
        <is>
          <t>농협은행주식회사:10-003-1384-0001:intr_rate(12개월)</t>
        </is>
      </c>
      <c r="L12" s="2" t="inlineStr">
        <is>
          <t>3.25</t>
        </is>
      </c>
    </row>
    <row r="13">
      <c r="A13" s="2" t="inlineStr">
        <is>
          <t>PRD-0012</t>
        </is>
      </c>
      <c r="B13" s="2" t="inlineStr">
        <is>
          <t>공시형</t>
        </is>
      </c>
      <c r="C13" s="2" t="inlineStr">
        <is>
          <t>예금</t>
        </is>
      </c>
      <c r="D13" s="2" t="inlineStr">
        <is>
          <t>정기예금</t>
        </is>
      </c>
      <c r="E13" s="2" t="inlineStr">
        <is>
          <t>base_rate_lookup</t>
        </is>
      </c>
      <c r="F13" s="2" t="inlineStr">
        <is>
          <t>농협은행주식회사 'NH고향사랑기부예금'에 12개월 만기로 가입하면 기본금리는 연 몇 %가 적용되는가?</t>
        </is>
      </c>
      <c r="G13" s="2" t="inlineStr">
        <is>
          <t>numeric</t>
        </is>
      </c>
      <c r="H13" s="2" t="inlineStr">
        <is>
          <t>2.45</t>
        </is>
      </c>
      <c r="I13" s="2" t="inlineStr">
        <is>
          <t>%</t>
        </is>
      </c>
      <c r="J13" s="2" t="inlineStr">
        <is>
          <t>금융감독원 금융상품통합비교공시 Open API (finlife.fss.or.kr), 202608</t>
        </is>
      </c>
      <c r="K13" s="2" t="inlineStr">
        <is>
          <t>농협은행주식회사:10-003-1387-0001:intr_rate(12개월)</t>
        </is>
      </c>
      <c r="L13" s="2" t="inlineStr">
        <is>
          <t>2.45</t>
        </is>
      </c>
    </row>
    <row r="14">
      <c r="A14" s="2" t="inlineStr">
        <is>
          <t>PRD-0013</t>
        </is>
      </c>
      <c r="B14" s="2" t="inlineStr">
        <is>
          <t>공시형</t>
        </is>
      </c>
      <c r="C14" s="2" t="inlineStr">
        <is>
          <t>예금</t>
        </is>
      </c>
      <c r="D14" s="2" t="inlineStr">
        <is>
          <t>정기예금</t>
        </is>
      </c>
      <c r="E14" s="2" t="inlineStr">
        <is>
          <t>base_rate_lookup</t>
        </is>
      </c>
      <c r="F14" s="2" t="inlineStr">
        <is>
          <t>부산은행 'LIVE정기예금'의 12개월 만기 기본금리는 연 몇 %인가?</t>
        </is>
      </c>
      <c r="G14" s="2" t="inlineStr">
        <is>
          <t>numeric</t>
        </is>
      </c>
      <c r="H14" s="2" t="inlineStr">
        <is>
          <t>2.25</t>
        </is>
      </c>
      <c r="I14" s="2" t="inlineStr">
        <is>
          <t>%</t>
        </is>
      </c>
      <c r="J14" s="2" t="inlineStr">
        <is>
          <t>금융감독원 금융상품통합비교공시 Open API (finlife.fss.or.kr), 202608</t>
        </is>
      </c>
      <c r="K14" s="2" t="inlineStr">
        <is>
          <t>부산은행:01030500510002:intr_rate(12개월)</t>
        </is>
      </c>
      <c r="L14" s="2" t="inlineStr">
        <is>
          <t>2.25</t>
        </is>
      </c>
    </row>
    <row r="15">
      <c r="A15" s="2" t="inlineStr">
        <is>
          <t>PRD-0014</t>
        </is>
      </c>
      <c r="B15" s="2" t="inlineStr">
        <is>
          <t>공시형</t>
        </is>
      </c>
      <c r="C15" s="2" t="inlineStr">
        <is>
          <t>예금</t>
        </is>
      </c>
      <c r="D15" s="2" t="inlineStr">
        <is>
          <t>정기예금</t>
        </is>
      </c>
      <c r="E15" s="2" t="inlineStr">
        <is>
          <t>base_rate_lookup</t>
        </is>
      </c>
      <c r="F15" s="2" t="inlineStr">
        <is>
          <t>부산은행 '더(The) 특판 정기예금'의 12개월 만기 기본금리는 연 몇 %인가?</t>
        </is>
      </c>
      <c r="G15" s="2" t="inlineStr">
        <is>
          <t>numeric</t>
        </is>
      </c>
      <c r="H15" s="2" t="inlineStr">
        <is>
          <t>2.2</t>
        </is>
      </c>
      <c r="I15" s="2" t="inlineStr">
        <is>
          <t>%</t>
        </is>
      </c>
      <c r="J15" s="2" t="inlineStr">
        <is>
          <t>금융감독원 금융상품통합비교공시 Open API (finlife.fss.or.kr), 202608</t>
        </is>
      </c>
      <c r="K15" s="2" t="inlineStr">
        <is>
          <t>부산은행:01030500560002:intr_rate(12개월)</t>
        </is>
      </c>
      <c r="L15" s="2" t="inlineStr">
        <is>
          <t>2.2</t>
        </is>
      </c>
    </row>
    <row r="16">
      <c r="A16" s="2" t="inlineStr">
        <is>
          <t>PRD-0015</t>
        </is>
      </c>
      <c r="B16" s="2" t="inlineStr">
        <is>
          <t>공시형</t>
        </is>
      </c>
      <c r="C16" s="2" t="inlineStr">
        <is>
          <t>예금</t>
        </is>
      </c>
      <c r="D16" s="2" t="inlineStr">
        <is>
          <t>정기예금</t>
        </is>
      </c>
      <c r="E16" s="2" t="inlineStr">
        <is>
          <t>base_rate_lookup</t>
        </is>
      </c>
      <c r="F16" s="2" t="inlineStr">
        <is>
          <t>12개월 만기 기준으로 부산은행 '더(The) 레벨업 정기예금'의 기본금리는 연 몇 %인가?</t>
        </is>
      </c>
      <c r="G16" s="2" t="inlineStr">
        <is>
          <t>numeric</t>
        </is>
      </c>
      <c r="H16" s="2" t="inlineStr">
        <is>
          <t>2.65</t>
        </is>
      </c>
      <c r="I16" s="2" t="inlineStr">
        <is>
          <t>%</t>
        </is>
      </c>
      <c r="J16" s="2" t="inlineStr">
        <is>
          <t>금융감독원 금융상품통합비교공시 Open API (finlife.fss.or.kr), 202608</t>
        </is>
      </c>
      <c r="K16" s="2" t="inlineStr">
        <is>
          <t>부산은행:01030500600002:intr_rate(12개월)</t>
        </is>
      </c>
      <c r="L16" s="2" t="inlineStr">
        <is>
          <t>2.65</t>
        </is>
      </c>
    </row>
    <row r="17">
      <c r="A17" s="2" t="inlineStr">
        <is>
          <t>PRD-0016</t>
        </is>
      </c>
      <c r="B17" s="2" t="inlineStr">
        <is>
          <t>공시형</t>
        </is>
      </c>
      <c r="C17" s="2" t="inlineStr">
        <is>
          <t>예금</t>
        </is>
      </c>
      <c r="D17" s="2" t="inlineStr">
        <is>
          <t>정기예금</t>
        </is>
      </c>
      <c r="E17" s="2" t="inlineStr">
        <is>
          <t>base_rate_lookup</t>
        </is>
      </c>
      <c r="F17" s="2" t="inlineStr">
        <is>
          <t>수협은행 'Sh해양플라스틱Zero!예금 (만기일시지급식)'의 1년(12개월) 만기 기본금리로 공시된 값은 연 몇 %인가?</t>
        </is>
      </c>
      <c r="G17" s="2" t="inlineStr">
        <is>
          <t>numeric</t>
        </is>
      </c>
      <c r="H17" s="2" t="inlineStr">
        <is>
          <t>3.26</t>
        </is>
      </c>
      <c r="I17" s="2" t="inlineStr">
        <is>
          <t>%</t>
        </is>
      </c>
      <c r="J17" s="2" t="inlineStr">
        <is>
          <t>금융감독원 금융상품통합비교공시 Open API (finlife.fss.or.kr), 202608</t>
        </is>
      </c>
      <c r="K17" s="2" t="inlineStr">
        <is>
          <t>수협은행:10120114300011:intr_rate(12개월)</t>
        </is>
      </c>
      <c r="L17" s="2" t="inlineStr">
        <is>
          <t>3.26</t>
        </is>
      </c>
    </row>
    <row r="18">
      <c r="A18" s="2" t="inlineStr">
        <is>
          <t>PRD-0017</t>
        </is>
      </c>
      <c r="B18" s="2" t="inlineStr">
        <is>
          <t>공시형</t>
        </is>
      </c>
      <c r="C18" s="2" t="inlineStr">
        <is>
          <t>예금</t>
        </is>
      </c>
      <c r="D18" s="2" t="inlineStr">
        <is>
          <t>정기예금</t>
        </is>
      </c>
      <c r="E18" s="2" t="inlineStr">
        <is>
          <t>base_rate_lookup</t>
        </is>
      </c>
      <c r="F18" s="2" t="inlineStr">
        <is>
          <t>수협은행 '헤이(Hey)정기예금'에 12개월 만기로 가입하면 기본금리는 연 몇 %가 적용되는가?</t>
        </is>
      </c>
      <c r="G18" s="2" t="inlineStr">
        <is>
          <t>numeric</t>
        </is>
      </c>
      <c r="H18" s="2" t="inlineStr">
        <is>
          <t>3.61</t>
        </is>
      </c>
      <c r="I18" s="2" t="inlineStr">
        <is>
          <t>%</t>
        </is>
      </c>
      <c r="J18" s="2" t="inlineStr">
        <is>
          <t>금융감독원 금융상품통합비교공시 Open API (finlife.fss.or.kr), 202608</t>
        </is>
      </c>
      <c r="K18" s="2" t="inlineStr">
        <is>
          <t>수협은행:10120114700011:intr_rate(12개월)</t>
        </is>
      </c>
      <c r="L18" s="2" t="inlineStr">
        <is>
          <t>3.61</t>
        </is>
      </c>
    </row>
    <row r="19">
      <c r="A19" s="2" t="inlineStr">
        <is>
          <t>PRD-0018</t>
        </is>
      </c>
      <c r="B19" s="2" t="inlineStr">
        <is>
          <t>공시형</t>
        </is>
      </c>
      <c r="C19" s="2" t="inlineStr">
        <is>
          <t>예금</t>
        </is>
      </c>
      <c r="D19" s="2" t="inlineStr">
        <is>
          <t>정기예금</t>
        </is>
      </c>
      <c r="E19" s="2" t="inlineStr">
        <is>
          <t>base_rate_lookup</t>
        </is>
      </c>
      <c r="F19" s="2" t="inlineStr">
        <is>
          <t>수협은행 'Sh첫만남우대예금'에 12개월 만기로 가입하면 기본금리는 연 몇 %가 적용되는가?</t>
        </is>
      </c>
      <c r="G19" s="2" t="inlineStr">
        <is>
          <t>numeric</t>
        </is>
      </c>
      <c r="H19" s="2" t="inlineStr">
        <is>
          <t>2.7</t>
        </is>
      </c>
      <c r="I19" s="2" t="inlineStr">
        <is>
          <t>%</t>
        </is>
      </c>
      <c r="J19" s="2" t="inlineStr">
        <is>
          <t>금융감독원 금융상품통합비교공시 Open API (finlife.fss.or.kr), 202608</t>
        </is>
      </c>
      <c r="K19" s="2" t="inlineStr">
        <is>
          <t>수협은행:10120116100011:intr_rate(12개월)</t>
        </is>
      </c>
      <c r="L19" s="2" t="inlineStr">
        <is>
          <t>2.7</t>
        </is>
      </c>
    </row>
    <row r="20">
      <c r="A20" s="2" t="inlineStr">
        <is>
          <t>PRD-0019</t>
        </is>
      </c>
      <c r="B20" s="2" t="inlineStr">
        <is>
          <t>공시형</t>
        </is>
      </c>
      <c r="C20" s="2" t="inlineStr">
        <is>
          <t>예금</t>
        </is>
      </c>
      <c r="D20" s="2" t="inlineStr">
        <is>
          <t>정기예금</t>
        </is>
      </c>
      <c r="E20" s="2" t="inlineStr">
        <is>
          <t>base_rate_lookup</t>
        </is>
      </c>
      <c r="F20" s="2" t="inlineStr">
        <is>
          <t>신한은행 '신한My플러스 정기예금'의 12개월 만기 기본금리는 연 몇 %인가?</t>
        </is>
      </c>
      <c r="G20" s="2" t="inlineStr">
        <is>
          <t>numeric</t>
        </is>
      </c>
      <c r="H20" s="2" t="inlineStr">
        <is>
          <t>2.3</t>
        </is>
      </c>
      <c r="I20" s="2" t="inlineStr">
        <is>
          <t>%</t>
        </is>
      </c>
      <c r="J20" s="2" t="inlineStr">
        <is>
          <t>금융감독원 금융상품통합비교공시 Open API (finlife.fss.or.kr), 202608</t>
        </is>
      </c>
      <c r="K20" s="2" t="inlineStr">
        <is>
          <t>신한은행:207-0134-16:intr_rate(12개월)</t>
        </is>
      </c>
      <c r="L20" s="2" t="inlineStr">
        <is>
          <t>2.3</t>
        </is>
      </c>
    </row>
    <row r="21">
      <c r="A21" s="2" t="inlineStr">
        <is>
          <t>PRD-0020</t>
        </is>
      </c>
      <c r="B21" s="2" t="inlineStr">
        <is>
          <t>공시형</t>
        </is>
      </c>
      <c r="C21" s="2" t="inlineStr">
        <is>
          <t>예금</t>
        </is>
      </c>
      <c r="D21" s="2" t="inlineStr">
        <is>
          <t>정기예금</t>
        </is>
      </c>
      <c r="E21" s="2" t="inlineStr">
        <is>
          <t>base_rate_lookup</t>
        </is>
      </c>
      <c r="F21" s="2" t="inlineStr">
        <is>
          <t>신한은행 '쏠편한 정기예금'의 12개월 만기 기본금리는 연 몇 %인가?</t>
        </is>
      </c>
      <c r="G21" s="2" t="inlineStr">
        <is>
          <t>numeric</t>
        </is>
      </c>
      <c r="H21" s="2" t="inlineStr">
        <is>
          <t>2.3</t>
        </is>
      </c>
      <c r="I21" s="2" t="inlineStr">
        <is>
          <t>%</t>
        </is>
      </c>
      <c r="J21" s="2" t="inlineStr">
        <is>
          <t>금융감독원 금융상품통합비교공시 Open API (finlife.fss.or.kr), 202608</t>
        </is>
      </c>
      <c r="K21" s="2" t="inlineStr">
        <is>
          <t>신한은행:207-0135-12:intr_rate(12개월)</t>
        </is>
      </c>
      <c r="L21" s="2" t="inlineStr">
        <is>
          <t>2.3</t>
        </is>
      </c>
    </row>
    <row r="22">
      <c r="A22" s="2" t="inlineStr">
        <is>
          <t>PRD-0021</t>
        </is>
      </c>
      <c r="B22" s="2" t="inlineStr">
        <is>
          <t>공시형</t>
        </is>
      </c>
      <c r="C22" s="2" t="inlineStr">
        <is>
          <t>예금</t>
        </is>
      </c>
      <c r="D22" s="2" t="inlineStr">
        <is>
          <t>적금</t>
        </is>
      </c>
      <c r="E22" s="2" t="inlineStr">
        <is>
          <t>max_rate_lookup</t>
        </is>
      </c>
      <c r="F22" s="2" t="inlineStr">
        <is>
          <t>우대조건을 모두 충족하면 경남은행 '행복 DREAM 적금'의 12개월 만기 금리는 최고 연 몇 %인가?</t>
        </is>
      </c>
      <c r="G22" s="2" t="inlineStr">
        <is>
          <t>numeric</t>
        </is>
      </c>
      <c r="H22" s="2" t="inlineStr">
        <is>
          <t>3.9</t>
        </is>
      </c>
      <c r="I22" s="2" t="inlineStr">
        <is>
          <t>%</t>
        </is>
      </c>
      <c r="J22" s="2" t="inlineStr">
        <is>
          <t>금융감독원 금융상품통합비교공시 Open API (finlife.fss.or.kr), 202608</t>
        </is>
      </c>
      <c r="K22" s="2" t="inlineStr">
        <is>
          <t>경남은행:21000111:intr_rate2(12개월)</t>
        </is>
      </c>
      <c r="L22" s="2" t="inlineStr">
        <is>
          <t>3.9</t>
        </is>
      </c>
    </row>
    <row r="23">
      <c r="A23" s="2" t="inlineStr">
        <is>
          <t>PRD-0022</t>
        </is>
      </c>
      <c r="B23" s="2" t="inlineStr">
        <is>
          <t>공시형</t>
        </is>
      </c>
      <c r="C23" s="2" t="inlineStr">
        <is>
          <t>예금</t>
        </is>
      </c>
      <c r="D23" s="2" t="inlineStr">
        <is>
          <t>적금</t>
        </is>
      </c>
      <c r="E23" s="2" t="inlineStr">
        <is>
          <t>max_rate_lookup</t>
        </is>
      </c>
      <c r="F23" s="2" t="inlineStr">
        <is>
          <t>12개월 만기 기준 경남은행 'BNK더조은자유적금'의 최고 우대금리로 공시된 값은?</t>
        </is>
      </c>
      <c r="G23" s="2" t="inlineStr">
        <is>
          <t>numeric</t>
        </is>
      </c>
      <c r="H23" s="2" t="inlineStr">
        <is>
          <t>3.9</t>
        </is>
      </c>
      <c r="I23" s="2" t="inlineStr">
        <is>
          <t>%</t>
        </is>
      </c>
      <c r="J23" s="2" t="inlineStr">
        <is>
          <t>금융감독원 금융상품통합비교공시 Open API (finlife.fss.or.kr), 202608</t>
        </is>
      </c>
      <c r="K23" s="2" t="inlineStr">
        <is>
          <t>경남은행:21001116:intr_rate2(12개월)</t>
        </is>
      </c>
      <c r="L23" s="2" t="inlineStr">
        <is>
          <t>3.9</t>
        </is>
      </c>
    </row>
    <row r="24">
      <c r="A24" s="2" t="inlineStr">
        <is>
          <t>PRD-0023</t>
        </is>
      </c>
      <c r="B24" s="2" t="inlineStr">
        <is>
          <t>공시형</t>
        </is>
      </c>
      <c r="C24" s="2" t="inlineStr">
        <is>
          <t>예금</t>
        </is>
      </c>
      <c r="D24" s="2" t="inlineStr">
        <is>
          <t>적금</t>
        </is>
      </c>
      <c r="E24" s="2" t="inlineStr">
        <is>
          <t>max_rate_lookup</t>
        </is>
      </c>
      <c r="F24" s="2" t="inlineStr">
        <is>
          <t>경남은행 'BNK 위더스자유적금'에서 12개월 만기로 받을 수 있는 최고 우대금리는 연 몇 %인가?</t>
        </is>
      </c>
      <c r="G24" s="2" t="inlineStr">
        <is>
          <t>numeric</t>
        </is>
      </c>
      <c r="H24" s="2" t="inlineStr">
        <is>
          <t>4.8</t>
        </is>
      </c>
      <c r="I24" s="2" t="inlineStr">
        <is>
          <t>%</t>
        </is>
      </c>
      <c r="J24" s="2" t="inlineStr">
        <is>
          <t>금융감독원 금융상품통합비교공시 Open API (finlife.fss.or.kr), 202608</t>
        </is>
      </c>
      <c r="K24" s="2" t="inlineStr">
        <is>
          <t>경남은행:21001199:intr_rate2(12개월)</t>
        </is>
      </c>
      <c r="L24" s="2" t="inlineStr">
        <is>
          <t>4.8</t>
        </is>
      </c>
    </row>
    <row r="25">
      <c r="A25" s="2" t="inlineStr">
        <is>
          <t>PRD-0024</t>
        </is>
      </c>
      <c r="B25" s="2" t="inlineStr">
        <is>
          <t>공시형</t>
        </is>
      </c>
      <c r="C25" s="2" t="inlineStr">
        <is>
          <t>예금</t>
        </is>
      </c>
      <c r="D25" s="2" t="inlineStr">
        <is>
          <t>적금</t>
        </is>
      </c>
      <c r="E25" s="2" t="inlineStr">
        <is>
          <t>max_rate_lookup</t>
        </is>
      </c>
      <c r="F25" s="2" t="inlineStr">
        <is>
          <t>경남은행 '주거래 프리미엄 적금'의 12개월 만기 최고 우대금리는 연 몇 %인가?</t>
        </is>
      </c>
      <c r="G25" s="2" t="inlineStr">
        <is>
          <t>numeric</t>
        </is>
      </c>
      <c r="H25" s="2" t="inlineStr">
        <is>
          <t>4.3</t>
        </is>
      </c>
      <c r="I25" s="2" t="inlineStr">
        <is>
          <t>%</t>
        </is>
      </c>
      <c r="J25" s="2" t="inlineStr">
        <is>
          <t>금융감독원 금융상품통합비교공시 Open API (finlife.fss.or.kr), 202608</t>
        </is>
      </c>
      <c r="K25" s="2" t="inlineStr">
        <is>
          <t>경남은행:21001236:intr_rate2(12개월)</t>
        </is>
      </c>
      <c r="L25" s="2" t="inlineStr">
        <is>
          <t>4.3</t>
        </is>
      </c>
    </row>
    <row r="26">
      <c r="A26" s="2" t="inlineStr">
        <is>
          <t>PRD-0025</t>
        </is>
      </c>
      <c r="B26" s="2" t="inlineStr">
        <is>
          <t>공시형</t>
        </is>
      </c>
      <c r="C26" s="2" t="inlineStr">
        <is>
          <t>예금</t>
        </is>
      </c>
      <c r="D26" s="2" t="inlineStr">
        <is>
          <t>적금</t>
        </is>
      </c>
      <c r="E26" s="2" t="inlineStr">
        <is>
          <t>max_rate_lookup</t>
        </is>
      </c>
      <c r="F26" s="2" t="inlineStr">
        <is>
          <t>1개월 만기 기준 경남은행 '오늘도세이브적금'의 최고 우대금리로 공시된 값은?</t>
        </is>
      </c>
      <c r="G26" s="2" t="inlineStr">
        <is>
          <t>numeric</t>
        </is>
      </c>
      <c r="H26" s="2" t="inlineStr">
        <is>
          <t>4.5</t>
        </is>
      </c>
      <c r="I26" s="2" t="inlineStr">
        <is>
          <t>%</t>
        </is>
      </c>
      <c r="J26" s="2" t="inlineStr">
        <is>
          <t>금융감독원 금융상품통합비교공시 Open API (finlife.fss.or.kr), 202608</t>
        </is>
      </c>
      <c r="K26" s="2" t="inlineStr">
        <is>
          <t>경남은행:21001259:intr_rate2(1개월)</t>
        </is>
      </c>
      <c r="L26" s="2" t="inlineStr">
        <is>
          <t>4.5</t>
        </is>
      </c>
    </row>
    <row r="27">
      <c r="A27" s="2" t="inlineStr">
        <is>
          <t>PRD-0026</t>
        </is>
      </c>
      <c r="B27" s="2" t="inlineStr">
        <is>
          <t>공시형</t>
        </is>
      </c>
      <c r="C27" s="2" t="inlineStr">
        <is>
          <t>예금</t>
        </is>
      </c>
      <c r="D27" s="2" t="inlineStr">
        <is>
          <t>적금</t>
        </is>
      </c>
      <c r="E27" s="2" t="inlineStr">
        <is>
          <t>max_rate_lookup</t>
        </is>
      </c>
      <c r="F27" s="2" t="inlineStr">
        <is>
          <t>12개월 만기 기준 경남은행 '오면우대! 하면우대! 정기적금'의 최고 우대금리로 공시된 값은?</t>
        </is>
      </c>
      <c r="G27" s="2" t="inlineStr">
        <is>
          <t>numeric</t>
        </is>
      </c>
      <c r="H27" s="2" t="inlineStr">
        <is>
          <t>7</t>
        </is>
      </c>
      <c r="I27" s="2" t="inlineStr">
        <is>
          <t>%</t>
        </is>
      </c>
      <c r="J27" s="2" t="inlineStr">
        <is>
          <t>금융감독원 금융상품통합비교공시 Open API (finlife.fss.or.kr), 202608</t>
        </is>
      </c>
      <c r="K27" s="2" t="inlineStr">
        <is>
          <t>경남은행:21001292:intr_rate2(12개월)</t>
        </is>
      </c>
      <c r="L27" s="2" t="inlineStr">
        <is>
          <t>7</t>
        </is>
      </c>
    </row>
    <row r="28">
      <c r="A28" s="2" t="inlineStr">
        <is>
          <t>PRD-0027</t>
        </is>
      </c>
      <c r="B28" s="2" t="inlineStr">
        <is>
          <t>공시형</t>
        </is>
      </c>
      <c r="C28" s="2" t="inlineStr">
        <is>
          <t>예금</t>
        </is>
      </c>
      <c r="D28" s="2" t="inlineStr">
        <is>
          <t>적금</t>
        </is>
      </c>
      <c r="E28" s="2" t="inlineStr">
        <is>
          <t>max_rate_lookup</t>
        </is>
      </c>
      <c r="F28" s="2" t="inlineStr">
        <is>
          <t>광주은행 '해피라이프_여행스케치적금V'의 12개월 만기 최고 우대금리는 연 몇 %인가?</t>
        </is>
      </c>
      <c r="G28" s="2" t="inlineStr">
        <is>
          <t>numeric</t>
        </is>
      </c>
      <c r="H28" s="2" t="inlineStr">
        <is>
          <t>3.5</t>
        </is>
      </c>
      <c r="I28" s="2" t="inlineStr">
        <is>
          <t>%</t>
        </is>
      </c>
      <c r="J28" s="2" t="inlineStr">
        <is>
          <t>금융감독원 금융상품통합비교공시 Open API (finlife.fss.or.kr), 202608</t>
        </is>
      </c>
      <c r="K28" s="2" t="inlineStr">
        <is>
          <t>광주은행:TD11330029000:intr_rate2(12개월)</t>
        </is>
      </c>
      <c r="L28" s="2" t="inlineStr">
        <is>
          <t>3.5</t>
        </is>
      </c>
    </row>
    <row r="29">
      <c r="A29" s="2" t="inlineStr">
        <is>
          <t>PRD-0028</t>
        </is>
      </c>
      <c r="B29" s="2" t="inlineStr">
        <is>
          <t>공시형</t>
        </is>
      </c>
      <c r="C29" s="2" t="inlineStr">
        <is>
          <t>예금</t>
        </is>
      </c>
      <c r="D29" s="2" t="inlineStr">
        <is>
          <t>적금</t>
        </is>
      </c>
      <c r="E29" s="2" t="inlineStr">
        <is>
          <t>max_rate_lookup</t>
        </is>
      </c>
      <c r="F29" s="2" t="inlineStr">
        <is>
          <t>광주은행 '여행스케치_남도투어적금'에서 12개월 만기로 받을 수 있는 최고 우대금리는 연 몇 %인가?</t>
        </is>
      </c>
      <c r="G29" s="2" t="inlineStr">
        <is>
          <t>numeric</t>
        </is>
      </c>
      <c r="H29" s="2" t="inlineStr">
        <is>
          <t>3.9</t>
        </is>
      </c>
      <c r="I29" s="2" t="inlineStr">
        <is>
          <t>%</t>
        </is>
      </c>
      <c r="J29" s="2" t="inlineStr">
        <is>
          <t>금융감독원 금융상품통합비교공시 Open API (finlife.fss.or.kr), 202608</t>
        </is>
      </c>
      <c r="K29" s="2" t="inlineStr">
        <is>
          <t>광주은행:TD11330030000:intr_rate2(12개월)</t>
        </is>
      </c>
      <c r="L29" s="2" t="inlineStr">
        <is>
          <t>3.9</t>
        </is>
      </c>
    </row>
    <row r="30">
      <c r="A30" s="2" t="inlineStr">
        <is>
          <t>PRD-0029</t>
        </is>
      </c>
      <c r="B30" s="2" t="inlineStr">
        <is>
          <t>공시형</t>
        </is>
      </c>
      <c r="C30" s="2" t="inlineStr">
        <is>
          <t>예금</t>
        </is>
      </c>
      <c r="D30" s="2" t="inlineStr">
        <is>
          <t>적금</t>
        </is>
      </c>
      <c r="E30" s="2" t="inlineStr">
        <is>
          <t>max_rate_lookup</t>
        </is>
      </c>
      <c r="F30" s="2" t="inlineStr">
        <is>
          <t>12개월 만기 기준 광주은행 'VIP플러스적금'의 최고 우대금리로 공시된 값은?</t>
        </is>
      </c>
      <c r="G30" s="2" t="inlineStr">
        <is>
          <t>numeric</t>
        </is>
      </c>
      <c r="H30" s="2" t="inlineStr">
        <is>
          <t>2.7</t>
        </is>
      </c>
      <c r="I30" s="2" t="inlineStr">
        <is>
          <t>%</t>
        </is>
      </c>
      <c r="J30" s="2" t="inlineStr">
        <is>
          <t>금융감독원 금융상품통합비교공시 Open API (finlife.fss.or.kr), 202608</t>
        </is>
      </c>
      <c r="K30" s="2" t="inlineStr">
        <is>
          <t>광주은행:TD11330031000:intr_rate2(12개월)</t>
        </is>
      </c>
      <c r="L30" s="2" t="inlineStr">
        <is>
          <t>2.7</t>
        </is>
      </c>
    </row>
    <row r="31">
      <c r="A31" s="2" t="inlineStr">
        <is>
          <t>PRD-0030</t>
        </is>
      </c>
      <c r="B31" s="2" t="inlineStr">
        <is>
          <t>공시형</t>
        </is>
      </c>
      <c r="C31" s="2" t="inlineStr">
        <is>
          <t>예금</t>
        </is>
      </c>
      <c r="D31" s="2" t="inlineStr">
        <is>
          <t>적금</t>
        </is>
      </c>
      <c r="E31" s="2" t="inlineStr">
        <is>
          <t>max_rate_lookup</t>
        </is>
      </c>
      <c r="F31" s="2" t="inlineStr">
        <is>
          <t>우대조건을 모두 충족하면 국민은행 'KB국민프리미엄적금(정액)'의 12개월 만기 금리는 최고 연 몇 %인가?</t>
        </is>
      </c>
      <c r="G31" s="2" t="inlineStr">
        <is>
          <t>numeric</t>
        </is>
      </c>
      <c r="H31" s="2" t="inlineStr">
        <is>
          <t>3.65</t>
        </is>
      </c>
      <c r="I31" s="2" t="inlineStr">
        <is>
          <t>%</t>
        </is>
      </c>
      <c r="J31" s="2" t="inlineStr">
        <is>
          <t>금융감독원 금융상품통합비교공시 Open API (finlife.fss.or.kr), 202608</t>
        </is>
      </c>
      <c r="K31" s="2" t="inlineStr">
        <is>
          <t>국민은행:010200100051:intr_rate2(12개월)</t>
        </is>
      </c>
      <c r="L31" s="2" t="inlineStr">
        <is>
          <t>3.65</t>
        </is>
      </c>
    </row>
    <row r="32">
      <c r="A32" s="2" t="inlineStr">
        <is>
          <t>PRD-0031</t>
        </is>
      </c>
      <c r="B32" s="2" t="inlineStr">
        <is>
          <t>공시형</t>
        </is>
      </c>
      <c r="C32" s="2" t="inlineStr">
        <is>
          <t>예금</t>
        </is>
      </c>
      <c r="D32" s="2" t="inlineStr">
        <is>
          <t>적금</t>
        </is>
      </c>
      <c r="E32" s="2" t="inlineStr">
        <is>
          <t>max_rate_lookup</t>
        </is>
      </c>
      <c r="F32" s="2" t="inlineStr">
        <is>
          <t>우대조건을 모두 충족하면 국민은행 'KB내맘대로적금'의 12개월 만기 금리는 최고 연 몇 %인가?</t>
        </is>
      </c>
      <c r="G32" s="2" t="inlineStr">
        <is>
          <t>numeric</t>
        </is>
      </c>
      <c r="H32" s="2" t="inlineStr">
        <is>
          <t>3.15</t>
        </is>
      </c>
      <c r="I32" s="2" t="inlineStr">
        <is>
          <t>%</t>
        </is>
      </c>
      <c r="J32" s="2" t="inlineStr">
        <is>
          <t>금융감독원 금융상품통합비교공시 Open API (finlife.fss.or.kr), 202608</t>
        </is>
      </c>
      <c r="K32" s="2" t="inlineStr">
        <is>
          <t>국민은행:010200100070:intr_rate2(12개월)</t>
        </is>
      </c>
      <c r="L32" s="2" t="inlineStr">
        <is>
          <t>3.15</t>
        </is>
      </c>
    </row>
    <row r="33">
      <c r="A33" s="2" t="inlineStr">
        <is>
          <t>PRD-0032</t>
        </is>
      </c>
      <c r="B33" s="2" t="inlineStr">
        <is>
          <t>공시형</t>
        </is>
      </c>
      <c r="C33" s="2" t="inlineStr">
        <is>
          <t>예금</t>
        </is>
      </c>
      <c r="D33" s="2" t="inlineStr">
        <is>
          <t>적금</t>
        </is>
      </c>
      <c r="E33" s="2" t="inlineStr">
        <is>
          <t>max_rate_lookup</t>
        </is>
      </c>
      <c r="F33" s="2" t="inlineStr">
        <is>
          <t>12개월 만기 기준 국민은행 'KB맑은하늘적금'의 최고 우대금리로 공시된 값은?</t>
        </is>
      </c>
      <c r="G33" s="2" t="inlineStr">
        <is>
          <t>numeric</t>
        </is>
      </c>
      <c r="H33" s="2" t="inlineStr">
        <is>
          <t>3.45</t>
        </is>
      </c>
      <c r="I33" s="2" t="inlineStr">
        <is>
          <t>%</t>
        </is>
      </c>
      <c r="J33" s="2" t="inlineStr">
        <is>
          <t>금융감독원 금융상품통합비교공시 Open API (finlife.fss.or.kr), 202608</t>
        </is>
      </c>
      <c r="K33" s="2" t="inlineStr">
        <is>
          <t>국민은행:010200100084:intr_rate2(12개월)</t>
        </is>
      </c>
      <c r="L33" s="2" t="inlineStr">
        <is>
          <t>3.45</t>
        </is>
      </c>
    </row>
    <row r="34">
      <c r="A34" s="2" t="inlineStr">
        <is>
          <t>PRD-0033</t>
        </is>
      </c>
      <c r="B34" s="2" t="inlineStr">
        <is>
          <t>공시형</t>
        </is>
      </c>
      <c r="C34" s="2" t="inlineStr">
        <is>
          <t>예금</t>
        </is>
      </c>
      <c r="D34" s="2" t="inlineStr">
        <is>
          <t>적금</t>
        </is>
      </c>
      <c r="E34" s="2" t="inlineStr">
        <is>
          <t>max_rate_lookup</t>
        </is>
      </c>
      <c r="F34" s="2" t="inlineStr">
        <is>
          <t>국민은행 'KB 특★한 적금'의 1개월 만기 최고 우대금리는 연 몇 %인가?</t>
        </is>
      </c>
      <c r="G34" s="2" t="inlineStr">
        <is>
          <t>numeric</t>
        </is>
      </c>
      <c r="H34" s="2" t="inlineStr">
        <is>
          <t>6</t>
        </is>
      </c>
      <c r="I34" s="2" t="inlineStr">
        <is>
          <t>%</t>
        </is>
      </c>
      <c r="J34" s="2" t="inlineStr">
        <is>
          <t>금융감독원 금융상품통합비교공시 Open API (finlife.fss.or.kr), 202608</t>
        </is>
      </c>
      <c r="K34" s="2" t="inlineStr">
        <is>
          <t>국민은행:010200100104:intr_rate2(1개월)</t>
        </is>
      </c>
      <c r="L34" s="2" t="inlineStr">
        <is>
          <t>6</t>
        </is>
      </c>
    </row>
    <row r="35">
      <c r="A35" s="2" t="inlineStr">
        <is>
          <t>PRD-0034</t>
        </is>
      </c>
      <c r="B35" s="2" t="inlineStr">
        <is>
          <t>공시형</t>
        </is>
      </c>
      <c r="C35" s="2" t="inlineStr">
        <is>
          <t>예금</t>
        </is>
      </c>
      <c r="D35" s="2" t="inlineStr">
        <is>
          <t>적금</t>
        </is>
      </c>
      <c r="E35" s="2" t="inlineStr">
        <is>
          <t>max_rate_lookup</t>
        </is>
      </c>
      <c r="F35" s="2" t="inlineStr">
        <is>
          <t>농협은행주식회사 'NH올원e 미니적금'의 1개월 만기 최고 우대금리는 연 몇 %인가?</t>
        </is>
      </c>
      <c r="G35" s="2" t="inlineStr">
        <is>
          <t>numeric</t>
        </is>
      </c>
      <c r="H35" s="2" t="inlineStr">
        <is>
          <t>3.85</t>
        </is>
      </c>
      <c r="I35" s="2" t="inlineStr">
        <is>
          <t>%</t>
        </is>
      </c>
      <c r="J35" s="2" t="inlineStr">
        <is>
          <t>금융감독원 금융상품통합비교공시 Open API (finlife.fss.or.kr), 202608</t>
        </is>
      </c>
      <c r="K35" s="2" t="inlineStr">
        <is>
          <t>농협은행주식회사:10-047-1360-0002:intr_rate2(1개월)</t>
        </is>
      </c>
      <c r="L35" s="2" t="inlineStr">
        <is>
          <t>3.85</t>
        </is>
      </c>
    </row>
    <row r="36">
      <c r="A36" s="2" t="inlineStr">
        <is>
          <t>PRD-0035</t>
        </is>
      </c>
      <c r="B36" s="2" t="inlineStr">
        <is>
          <t>공시형</t>
        </is>
      </c>
      <c r="C36" s="2" t="inlineStr">
        <is>
          <t>예금</t>
        </is>
      </c>
      <c r="D36" s="2" t="inlineStr">
        <is>
          <t>적금</t>
        </is>
      </c>
      <c r="E36" s="2" t="inlineStr">
        <is>
          <t>max_rate_lookup</t>
        </is>
      </c>
      <c r="F36" s="2" t="inlineStr">
        <is>
          <t>우대조건을 모두 충족하면 농협은행주식회사 'NH1934월복리적금'의 12개월 만기 금리는 최고 연 몇 %인가?</t>
        </is>
      </c>
      <c r="G36" s="2" t="inlineStr">
        <is>
          <t>numeric</t>
        </is>
      </c>
      <c r="H36" s="2" t="inlineStr">
        <is>
          <t>6.05</t>
        </is>
      </c>
      <c r="I36" s="2" t="inlineStr">
        <is>
          <t>%</t>
        </is>
      </c>
      <c r="J36" s="2" t="inlineStr">
        <is>
          <t>금융감독원 금융상품통합비교공시 Open API (finlife.fss.or.kr), 202608</t>
        </is>
      </c>
      <c r="K36" s="2" t="inlineStr">
        <is>
          <t>농협은행주식회사:10-047-1365-0001:intr_rate2(12개월)</t>
        </is>
      </c>
      <c r="L36" s="2" t="inlineStr">
        <is>
          <t>6.05</t>
        </is>
      </c>
    </row>
    <row r="37">
      <c r="A37" s="2" t="inlineStr">
        <is>
          <t>PRD-0036</t>
        </is>
      </c>
      <c r="B37" s="2" t="inlineStr">
        <is>
          <t>공시형</t>
        </is>
      </c>
      <c r="C37" s="2" t="inlineStr">
        <is>
          <t>예금</t>
        </is>
      </c>
      <c r="D37" s="2" t="inlineStr">
        <is>
          <t>적금</t>
        </is>
      </c>
      <c r="E37" s="2" t="inlineStr">
        <is>
          <t>max_rate_lookup</t>
        </is>
      </c>
      <c r="F37" s="2" t="inlineStr">
        <is>
          <t>농협은행주식회사 'NH내가Green초록세상적금'에서 12개월 만기로 받을 수 있는 최고 우대금리는 연 몇 %인가?</t>
        </is>
      </c>
      <c r="G37" s="2" t="inlineStr">
        <is>
          <t>numeric</t>
        </is>
      </c>
      <c r="H37" s="2" t="inlineStr">
        <is>
          <t>3.55</t>
        </is>
      </c>
      <c r="I37" s="2" t="inlineStr">
        <is>
          <t>%</t>
        </is>
      </c>
      <c r="J37" s="2" t="inlineStr">
        <is>
          <t>금융감독원 금융상품통합비교공시 Open API (finlife.fss.or.kr), 202608</t>
        </is>
      </c>
      <c r="K37" s="2" t="inlineStr">
        <is>
          <t>농협은행주식회사:10-047-1381-0001:intr_rate2(12개월)</t>
        </is>
      </c>
      <c r="L37" s="2" t="inlineStr">
        <is>
          <t>3.55</t>
        </is>
      </c>
    </row>
    <row r="38">
      <c r="A38" s="2" t="inlineStr">
        <is>
          <t>PRD-0037</t>
        </is>
      </c>
      <c r="B38" s="2" t="inlineStr">
        <is>
          <t>공시형</t>
        </is>
      </c>
      <c r="C38" s="2" t="inlineStr">
        <is>
          <t>예금</t>
        </is>
      </c>
      <c r="D38" s="2" t="inlineStr">
        <is>
          <t>적금</t>
        </is>
      </c>
      <c r="E38" s="2" t="inlineStr">
        <is>
          <t>max_rate_lookup</t>
        </is>
      </c>
      <c r="F38" s="2" t="inlineStr">
        <is>
          <t>12개월 만기 기준 농협은행주식회사 'NH고향사랑기부적금'의 최고 우대금리로 공시된 값은?</t>
        </is>
      </c>
      <c r="G38" s="2" t="inlineStr">
        <is>
          <t>numeric</t>
        </is>
      </c>
      <c r="H38" s="2" t="inlineStr">
        <is>
          <t>3.7</t>
        </is>
      </c>
      <c r="I38" s="2" t="inlineStr">
        <is>
          <t>%</t>
        </is>
      </c>
      <c r="J38" s="2" t="inlineStr">
        <is>
          <t>금융감독원 금융상품통합비교공시 Open API (finlife.fss.or.kr), 202608</t>
        </is>
      </c>
      <c r="K38" s="2" t="inlineStr">
        <is>
          <t>농협은행주식회사:10-047-1387-0001:intr_rate2(12개월)</t>
        </is>
      </c>
      <c r="L38" s="2" t="inlineStr">
        <is>
          <t>3.7</t>
        </is>
      </c>
    </row>
    <row r="39">
      <c r="A39" s="2" t="inlineStr">
        <is>
          <t>PRD-0038</t>
        </is>
      </c>
      <c r="B39" s="2" t="inlineStr">
        <is>
          <t>공시형</t>
        </is>
      </c>
      <c r="C39" s="2" t="inlineStr">
        <is>
          <t>예금</t>
        </is>
      </c>
      <c r="D39" s="2" t="inlineStr">
        <is>
          <t>적금</t>
        </is>
      </c>
      <c r="E39" s="2" t="inlineStr">
        <is>
          <t>max_rate_lookup</t>
        </is>
      </c>
      <c r="F39" s="2" t="inlineStr">
        <is>
          <t>12개월 만기 기준 농협은행주식회사 'NH직장인월복리적금'의 최고 우대금리로 공시된 값은?</t>
        </is>
      </c>
      <c r="G39" s="2" t="inlineStr">
        <is>
          <t>numeric</t>
        </is>
      </c>
      <c r="H39" s="2" t="inlineStr">
        <is>
          <t>3.72</t>
        </is>
      </c>
      <c r="I39" s="2" t="inlineStr">
        <is>
          <t>%</t>
        </is>
      </c>
      <c r="J39" s="2" t="inlineStr">
        <is>
          <t>금융감독원 금융상품통합비교공시 Open API (finlife.fss.or.kr), 202608</t>
        </is>
      </c>
      <c r="K39" s="2" t="inlineStr">
        <is>
          <t>농협은행주식회사:10-059-1264-0001:intr_rate2(12개월)</t>
        </is>
      </c>
      <c r="L39" s="2" t="inlineStr">
        <is>
          <t>3.72</t>
        </is>
      </c>
    </row>
    <row r="40">
      <c r="A40" s="2" t="inlineStr">
        <is>
          <t>PRD-0039</t>
        </is>
      </c>
      <c r="B40" s="2" t="inlineStr">
        <is>
          <t>공시형</t>
        </is>
      </c>
      <c r="C40" s="2" t="inlineStr">
        <is>
          <t>예금</t>
        </is>
      </c>
      <c r="D40" s="2" t="inlineStr">
        <is>
          <t>적금</t>
        </is>
      </c>
      <c r="E40" s="2" t="inlineStr">
        <is>
          <t>max_rate_lookup</t>
        </is>
      </c>
      <c r="F40" s="2" t="inlineStr">
        <is>
          <t>부산은행 '펫 적금'의 12개월 만기 최고 우대금리는 연 몇 %인가?</t>
        </is>
      </c>
      <c r="G40" s="2" t="inlineStr">
        <is>
          <t>numeric</t>
        </is>
      </c>
      <c r="H40" s="2" t="inlineStr">
        <is>
          <t>3.1</t>
        </is>
      </c>
      <c r="I40" s="2" t="inlineStr">
        <is>
          <t>%</t>
        </is>
      </c>
      <c r="J40" s="2" t="inlineStr">
        <is>
          <t>금융감독원 금융상품통합비교공시 Open API (finlife.fss.or.kr), 202608</t>
        </is>
      </c>
      <c r="K40" s="2" t="inlineStr">
        <is>
          <t>부산은행:01020400490002:intr_rate2(12개월)</t>
        </is>
      </c>
      <c r="L40" s="2" t="inlineStr">
        <is>
          <t>3.1</t>
        </is>
      </c>
    </row>
    <row r="41">
      <c r="A41" s="2" t="inlineStr">
        <is>
          <t>PRD-0040</t>
        </is>
      </c>
      <c r="B41" s="2" t="inlineStr">
        <is>
          <t>공시형</t>
        </is>
      </c>
      <c r="C41" s="2" t="inlineStr">
        <is>
          <t>예금</t>
        </is>
      </c>
      <c r="D41" s="2" t="inlineStr">
        <is>
          <t>적금</t>
        </is>
      </c>
      <c r="E41" s="2" t="inlineStr">
        <is>
          <t>max_rate_lookup</t>
        </is>
      </c>
      <c r="F41" s="2" t="inlineStr">
        <is>
          <t>부산은행 '저탄소 실천 적금'에서 12개월 만기로 받을 수 있는 최고 우대금리는 연 몇 %인가?</t>
        </is>
      </c>
      <c r="G41" s="2" t="inlineStr">
        <is>
          <t>numeric</t>
        </is>
      </c>
      <c r="H41" s="2" t="inlineStr">
        <is>
          <t>3</t>
        </is>
      </c>
      <c r="I41" s="2" t="inlineStr">
        <is>
          <t>%</t>
        </is>
      </c>
      <c r="J41" s="2" t="inlineStr">
        <is>
          <t>금융감독원 금융상품통합비교공시 Open API (finlife.fss.or.kr), 202608</t>
        </is>
      </c>
      <c r="K41" s="2" t="inlineStr">
        <is>
          <t>부산은행:01020400510001:intr_rate2(12개월)</t>
        </is>
      </c>
      <c r="L41" s="2" t="inlineStr">
        <is>
          <t>3</t>
        </is>
      </c>
    </row>
    <row r="42">
      <c r="A42" s="2" t="inlineStr">
        <is>
          <t>PRD-0041</t>
        </is>
      </c>
      <c r="B42" s="2" t="inlineStr">
        <is>
          <t>공시형</t>
        </is>
      </c>
      <c r="C42" s="2" t="inlineStr">
        <is>
          <t>예금</t>
        </is>
      </c>
      <c r="D42" s="2" t="inlineStr">
        <is>
          <t>적금</t>
        </is>
      </c>
      <c r="E42" s="2" t="inlineStr">
        <is>
          <t>max_rate_lookup</t>
        </is>
      </c>
      <c r="F42" s="2" t="inlineStr">
        <is>
          <t>부산은행 'BNK내맘대로 적금'에서 12개월 만기로 받을 수 있는 최고 우대금리는 연 몇 %인가?</t>
        </is>
      </c>
      <c r="G42" s="2" t="inlineStr">
        <is>
          <t>numeric</t>
        </is>
      </c>
      <c r="H42" s="2" t="inlineStr">
        <is>
          <t>3.1</t>
        </is>
      </c>
      <c r="I42" s="2" t="inlineStr">
        <is>
          <t>%</t>
        </is>
      </c>
      <c r="J42" s="2" t="inlineStr">
        <is>
          <t>금융감독원 금융상품통합비교공시 Open API (finlife.fss.or.kr), 202608</t>
        </is>
      </c>
      <c r="K42" s="2" t="inlineStr">
        <is>
          <t>부산은행:01020400530001:intr_rate2(12개월)</t>
        </is>
      </c>
      <c r="L42" s="2" t="inlineStr">
        <is>
          <t>3.1</t>
        </is>
      </c>
    </row>
    <row r="43">
      <c r="A43" s="2" t="inlineStr">
        <is>
          <t>PRD-0042</t>
        </is>
      </c>
      <c r="B43" s="2" t="inlineStr">
        <is>
          <t>공시형</t>
        </is>
      </c>
      <c r="C43" s="2" t="inlineStr">
        <is>
          <t>예금</t>
        </is>
      </c>
      <c r="D43" s="2" t="inlineStr">
        <is>
          <t>적금</t>
        </is>
      </c>
      <c r="E43" s="2" t="inlineStr">
        <is>
          <t>max_rate_lookup</t>
        </is>
      </c>
      <c r="F43" s="2" t="inlineStr">
        <is>
          <t>부산은행 '부산이라 좋다 Big적금'의 12개월 만기 최고 우대금리는 연 몇 %인가?</t>
        </is>
      </c>
      <c r="G43" s="2" t="inlineStr">
        <is>
          <t>numeric</t>
        </is>
      </c>
      <c r="H43" s="2" t="inlineStr">
        <is>
          <t>4.8</t>
        </is>
      </c>
      <c r="I43" s="2" t="inlineStr">
        <is>
          <t>%</t>
        </is>
      </c>
      <c r="J43" s="2" t="inlineStr">
        <is>
          <t>금융감독원 금융상품통합비교공시 Open API (finlife.fss.or.kr), 202608</t>
        </is>
      </c>
      <c r="K43" s="2" t="inlineStr">
        <is>
          <t>부산은행:01020400660001:intr_rate2(12개월)</t>
        </is>
      </c>
      <c r="L43" s="2" t="inlineStr">
        <is>
          <t>4.8</t>
        </is>
      </c>
    </row>
    <row r="44">
      <c r="A44" s="2" t="inlineStr">
        <is>
          <t>PRD-0043</t>
        </is>
      </c>
      <c r="B44" s="2" t="inlineStr">
        <is>
          <t>공시형</t>
        </is>
      </c>
      <c r="C44" s="2" t="inlineStr">
        <is>
          <t>예금</t>
        </is>
      </c>
      <c r="D44" s="2" t="inlineStr">
        <is>
          <t>적금</t>
        </is>
      </c>
      <c r="E44" s="2" t="inlineStr">
        <is>
          <t>max_rate_lookup</t>
        </is>
      </c>
      <c r="F44" s="2" t="inlineStr">
        <is>
          <t>우대조건을 모두 충족하면 부산은행 'Only One 주거래 우대적금'의 12개월 만기 금리는 최고 연 몇 %인가?</t>
        </is>
      </c>
      <c r="G44" s="2" t="inlineStr">
        <is>
          <t>numeric</t>
        </is>
      </c>
      <c r="H44" s="2" t="inlineStr">
        <is>
          <t>4.8</t>
        </is>
      </c>
      <c r="I44" s="2" t="inlineStr">
        <is>
          <t>%</t>
        </is>
      </c>
      <c r="J44" s="2" t="inlineStr">
        <is>
          <t>금융감독원 금융상품통합비교공시 Open API (finlife.fss.or.kr), 202608</t>
        </is>
      </c>
      <c r="K44" s="2" t="inlineStr">
        <is>
          <t>부산은행:01020400700001:intr_rate2(12개월)</t>
        </is>
      </c>
      <c r="L44" s="2" t="inlineStr">
        <is>
          <t>4.8</t>
        </is>
      </c>
    </row>
    <row r="45">
      <c r="A45" s="2" t="inlineStr">
        <is>
          <t>PRD-0044</t>
        </is>
      </c>
      <c r="B45" s="2" t="inlineStr">
        <is>
          <t>공시형</t>
        </is>
      </c>
      <c r="C45" s="2" t="inlineStr">
        <is>
          <t>예금</t>
        </is>
      </c>
      <c r="D45" s="2" t="inlineStr">
        <is>
          <t>적금</t>
        </is>
      </c>
      <c r="E45" s="2" t="inlineStr">
        <is>
          <t>max_rate_lookup</t>
        </is>
      </c>
      <c r="F45" s="2" t="inlineStr">
        <is>
          <t>12개월 만기 기준 수협은행 'Sh해양플라스틱Zero!적금 (정액적립식)'의 최고 우대금리로 공시된 값은?</t>
        </is>
      </c>
      <c r="G45" s="2" t="inlineStr">
        <is>
          <t>numeric</t>
        </is>
      </c>
      <c r="H45" s="2" t="inlineStr">
        <is>
          <t>4</t>
        </is>
      </c>
      <c r="I45" s="2" t="inlineStr">
        <is>
          <t>%</t>
        </is>
      </c>
      <c r="J45" s="2" t="inlineStr">
        <is>
          <t>금융감독원 금융상품통합비교공시 Open API (finlife.fss.or.kr), 202608</t>
        </is>
      </c>
      <c r="K45" s="2" t="inlineStr">
        <is>
          <t>수협은행:10140114300011:intr_rate2(12개월)</t>
        </is>
      </c>
      <c r="L45" s="2" t="inlineStr">
        <is>
          <t>4</t>
        </is>
      </c>
    </row>
    <row r="46">
      <c r="A46" s="2" t="inlineStr">
        <is>
          <t>PRD-0045</t>
        </is>
      </c>
      <c r="B46" s="2" t="inlineStr">
        <is>
          <t>공시형</t>
        </is>
      </c>
      <c r="C46" s="2" t="inlineStr">
        <is>
          <t>예금</t>
        </is>
      </c>
      <c r="D46" s="2" t="inlineStr">
        <is>
          <t>적금</t>
        </is>
      </c>
      <c r="E46" s="2" t="inlineStr">
        <is>
          <t>max_rate_lookup</t>
        </is>
      </c>
      <c r="F46" s="2" t="inlineStr">
        <is>
          <t>수협은행 '헤이(Hey)적금 (정액적립식)'의 12개월 만기 최고 우대금리는 연 몇 %인가?</t>
        </is>
      </c>
      <c r="G46" s="2" t="inlineStr">
        <is>
          <t>numeric</t>
        </is>
      </c>
      <c r="H46" s="2" t="inlineStr">
        <is>
          <t>3.7</t>
        </is>
      </c>
      <c r="I46" s="2" t="inlineStr">
        <is>
          <t>%</t>
        </is>
      </c>
      <c r="J46" s="2" t="inlineStr">
        <is>
          <t>금융감독원 금융상품통합비교공시 Open API (finlife.fss.or.kr), 202608</t>
        </is>
      </c>
      <c r="K46" s="2" t="inlineStr">
        <is>
          <t>수협은행:10140114700041:intr_rate2(12개월)</t>
        </is>
      </c>
      <c r="L46" s="2" t="inlineStr">
        <is>
          <t>3.7</t>
        </is>
      </c>
    </row>
    <row r="47">
      <c r="A47" s="2" t="inlineStr">
        <is>
          <t>PRD-0046</t>
        </is>
      </c>
      <c r="B47" s="2" t="inlineStr">
        <is>
          <t>공시형</t>
        </is>
      </c>
      <c r="C47" s="2" t="inlineStr">
        <is>
          <t>예금</t>
        </is>
      </c>
      <c r="D47" s="2" t="inlineStr">
        <is>
          <t>적금</t>
        </is>
      </c>
      <c r="E47" s="2" t="inlineStr">
        <is>
          <t>max_rate_lookup</t>
        </is>
      </c>
      <c r="F47" s="2" t="inlineStr">
        <is>
          <t>12개월 만기 기준 수협은행 'Sh월복리자유적금'의 최고 우대금리로 공시된 값은?</t>
        </is>
      </c>
      <c r="G47" s="2" t="inlineStr">
        <is>
          <t>numeric</t>
        </is>
      </c>
      <c r="H47" s="2" t="inlineStr">
        <is>
          <t>2.9</t>
        </is>
      </c>
      <c r="I47" s="2" t="inlineStr">
        <is>
          <t>%</t>
        </is>
      </c>
      <c r="J47" s="2" t="inlineStr">
        <is>
          <t>금융감독원 금융상품통합비교공시 Open API (finlife.fss.or.kr), 202608</t>
        </is>
      </c>
      <c r="K47" s="2" t="inlineStr">
        <is>
          <t>수협은행:10141109800021:intr_rate2(12개월)</t>
        </is>
      </c>
      <c r="L47" s="2" t="inlineStr">
        <is>
          <t>2.9</t>
        </is>
      </c>
    </row>
    <row r="48">
      <c r="A48" s="2" t="inlineStr">
        <is>
          <t>PRD-0047</t>
        </is>
      </c>
      <c r="B48" s="2" t="inlineStr">
        <is>
          <t>공시형</t>
        </is>
      </c>
      <c r="C48" s="2" t="inlineStr">
        <is>
          <t>예금</t>
        </is>
      </c>
      <c r="D48" s="2" t="inlineStr">
        <is>
          <t>적금</t>
        </is>
      </c>
      <c r="E48" s="2" t="inlineStr">
        <is>
          <t>max_rate_lookup</t>
        </is>
      </c>
      <c r="F48" s="2" t="inlineStr">
        <is>
          <t>우대조건을 모두 충족하면 수협은행 'Sh해양플라스틱Zero!적금 (자유적립식)'의 12개월 만기 금리는 최고 연 몇 %인가?</t>
        </is>
      </c>
      <c r="G48" s="2" t="inlineStr">
        <is>
          <t>numeric</t>
        </is>
      </c>
      <c r="H48" s="2" t="inlineStr">
        <is>
          <t>4.15</t>
        </is>
      </c>
      <c r="I48" s="2" t="inlineStr">
        <is>
          <t>%</t>
        </is>
      </c>
      <c r="J48" s="2" t="inlineStr">
        <is>
          <t>금융감독원 금융상품통합비교공시 Open API (finlife.fss.or.kr), 202608</t>
        </is>
      </c>
      <c r="K48" s="2" t="inlineStr">
        <is>
          <t>수협은행:10141114300011:intr_rate2(12개월)</t>
        </is>
      </c>
      <c r="L48" s="2" t="inlineStr">
        <is>
          <t>4.15</t>
        </is>
      </c>
    </row>
    <row r="49">
      <c r="A49" s="2" t="inlineStr">
        <is>
          <t>PRD-0048</t>
        </is>
      </c>
      <c r="B49" s="2" t="inlineStr">
        <is>
          <t>공시형</t>
        </is>
      </c>
      <c r="C49" s="2" t="inlineStr">
        <is>
          <t>예금</t>
        </is>
      </c>
      <c r="D49" s="2" t="inlineStr">
        <is>
          <t>적금</t>
        </is>
      </c>
      <c r="E49" s="2" t="inlineStr">
        <is>
          <t>max_rate_lookup</t>
        </is>
      </c>
      <c r="F49" s="2" t="inlineStr">
        <is>
          <t>수협은행 '헤이(Hey)적금 (자유적립식)'에서 12개월 만기로 받을 수 있는 최고 우대금리는 연 몇 %인가?</t>
        </is>
      </c>
      <c r="G49" s="2" t="inlineStr">
        <is>
          <t>numeric</t>
        </is>
      </c>
      <c r="H49" s="2" t="inlineStr">
        <is>
          <t>4.1</t>
        </is>
      </c>
      <c r="I49" s="2" t="inlineStr">
        <is>
          <t>%</t>
        </is>
      </c>
      <c r="J49" s="2" t="inlineStr">
        <is>
          <t>금융감독원 금융상품통합비교공시 Open API (finlife.fss.or.kr), 202608</t>
        </is>
      </c>
      <c r="K49" s="2" t="inlineStr">
        <is>
          <t>수협은행:10141114700041:intr_rate2(12개월)</t>
        </is>
      </c>
      <c r="L49" s="2" t="inlineStr">
        <is>
          <t>4.1</t>
        </is>
      </c>
    </row>
    <row r="50">
      <c r="A50" s="2" t="inlineStr">
        <is>
          <t>PRD-0049</t>
        </is>
      </c>
      <c r="B50" s="2" t="inlineStr">
        <is>
          <t>공시형</t>
        </is>
      </c>
      <c r="C50" s="2" t="inlineStr">
        <is>
          <t>예금</t>
        </is>
      </c>
      <c r="D50" s="2" t="inlineStr">
        <is>
          <t>적금</t>
        </is>
      </c>
      <c r="E50" s="2" t="inlineStr">
        <is>
          <t>max_rate_lookup</t>
        </is>
      </c>
      <c r="F50" s="2" t="inlineStr">
        <is>
          <t>우대조건을 모두 충족하면 신한은행 '신한 알.쏠 적금'의 12개월 만기 금리는 최고 연 몇 %인가?</t>
        </is>
      </c>
      <c r="G50" s="2" t="inlineStr">
        <is>
          <t>numeric</t>
        </is>
      </c>
      <c r="H50" s="2" t="inlineStr">
        <is>
          <t>3.95</t>
        </is>
      </c>
      <c r="I50" s="2" t="inlineStr">
        <is>
          <t>%</t>
        </is>
      </c>
      <c r="J50" s="2" t="inlineStr">
        <is>
          <t>금융감독원 금융상품통합비교공시 Open API (finlife.fss.or.kr), 202608</t>
        </is>
      </c>
      <c r="K50" s="2" t="inlineStr">
        <is>
          <t>신한은행:230-0119-85:intr_rate2(12개월)</t>
        </is>
      </c>
      <c r="L50" s="2" t="inlineStr">
        <is>
          <t>3.95</t>
        </is>
      </c>
    </row>
    <row r="51">
      <c r="A51" s="2" t="inlineStr">
        <is>
          <t>PRD-0050</t>
        </is>
      </c>
      <c r="B51" s="2" t="inlineStr">
        <is>
          <t>공시형</t>
        </is>
      </c>
      <c r="C51" s="2" t="inlineStr">
        <is>
          <t>예금</t>
        </is>
      </c>
      <c r="D51" s="2" t="inlineStr">
        <is>
          <t>적금</t>
        </is>
      </c>
      <c r="E51" s="2" t="inlineStr">
        <is>
          <t>max_rate_lookup</t>
        </is>
      </c>
      <c r="F51" s="2" t="inlineStr">
        <is>
          <t>아이엠뱅크 'iM함께적금'의 12개월 만기 최고 우대금리는 연 몇 %인가?</t>
        </is>
      </c>
      <c r="G51" s="2" t="inlineStr">
        <is>
          <t>numeric</t>
        </is>
      </c>
      <c r="H51" s="2" t="inlineStr">
        <is>
          <t>3.85</t>
        </is>
      </c>
      <c r="I51" s="2" t="inlineStr">
        <is>
          <t>%</t>
        </is>
      </c>
      <c r="J51" s="2" t="inlineStr">
        <is>
          <t>금융감독원 금융상품통합비교공시 Open API (finlife.fss.or.kr), 202608</t>
        </is>
      </c>
      <c r="K51" s="2" t="inlineStr">
        <is>
          <t>아이엠뱅크:10521001001166004:intr_rate2(12개월)</t>
        </is>
      </c>
      <c r="L51" s="2" t="inlineStr">
        <is>
          <t>3.85</t>
        </is>
      </c>
    </row>
    <row r="52">
      <c r="A52" s="2" t="inlineStr">
        <is>
          <t>PRD-0051</t>
        </is>
      </c>
      <c r="B52" s="2" t="inlineStr">
        <is>
          <t>공시형</t>
        </is>
      </c>
      <c r="C52" s="2" t="inlineStr">
        <is>
          <t>예금</t>
        </is>
      </c>
      <c r="D52" s="2" t="inlineStr">
        <is>
          <t>정기예금</t>
        </is>
      </c>
      <c r="E52" s="2" t="inlineStr">
        <is>
          <t>rate_threshold</t>
        </is>
      </c>
      <c r="F52" s="2" t="inlineStr">
        <is>
          <t>경남은행 'BNK더조은정기예금'의 12개월 만기 최고 우대금리는 연 2.35% 이상인가?</t>
        </is>
      </c>
      <c r="G52" s="2" t="inlineStr">
        <is>
          <t>boolean</t>
        </is>
      </c>
      <c r="H52" s="2" t="inlineStr">
        <is>
          <t>YES</t>
        </is>
      </c>
      <c r="I52" s="2" t="inlineStr"/>
      <c r="J52" s="2" t="inlineStr">
        <is>
          <t>금융감독원 금융상품통합비교공시 Open API (finlife.fss.or.kr), 202608</t>
        </is>
      </c>
      <c r="K52" s="2" t="inlineStr">
        <is>
          <t>경남은행:21001115:intr_rate2(12개월)</t>
        </is>
      </c>
      <c r="L52" s="2" t="inlineStr">
        <is>
          <t>2.55</t>
        </is>
      </c>
    </row>
    <row r="53">
      <c r="A53" s="2" t="inlineStr">
        <is>
          <t>PRD-0052</t>
        </is>
      </c>
      <c r="B53" s="2" t="inlineStr">
        <is>
          <t>공시형</t>
        </is>
      </c>
      <c r="C53" s="2" t="inlineStr">
        <is>
          <t>예금</t>
        </is>
      </c>
      <c r="D53" s="2" t="inlineStr">
        <is>
          <t>정기예금</t>
        </is>
      </c>
      <c r="E53" s="2" t="inlineStr">
        <is>
          <t>rate_threshold</t>
        </is>
      </c>
      <c r="F53" s="2" t="inlineStr">
        <is>
          <t>경남은행 'BNK더조은정기예금'(12개월 만기)의 최고 우대금리는 연 2.75%보다 높거나 같은가?</t>
        </is>
      </c>
      <c r="G53" s="2" t="inlineStr">
        <is>
          <t>boolean</t>
        </is>
      </c>
      <c r="H53" s="2" t="inlineStr">
        <is>
          <t>NO</t>
        </is>
      </c>
      <c r="I53" s="2" t="inlineStr"/>
      <c r="J53" s="2" t="inlineStr">
        <is>
          <t>금융감독원 금융상품통합비교공시 Open API (finlife.fss.or.kr), 202608</t>
        </is>
      </c>
      <c r="K53" s="2" t="inlineStr">
        <is>
          <t>경남은행:21001115:intr_rate2(12개월)</t>
        </is>
      </c>
      <c r="L53" s="2" t="inlineStr">
        <is>
          <t>2.55</t>
        </is>
      </c>
    </row>
    <row r="54">
      <c r="A54" s="2" t="inlineStr">
        <is>
          <t>PRD-0053</t>
        </is>
      </c>
      <c r="B54" s="2" t="inlineStr">
        <is>
          <t>공시형</t>
        </is>
      </c>
      <c r="C54" s="2" t="inlineStr">
        <is>
          <t>예금</t>
        </is>
      </c>
      <c r="D54" s="2" t="inlineStr">
        <is>
          <t>정기예금</t>
        </is>
      </c>
      <c r="E54" s="2" t="inlineStr">
        <is>
          <t>rate_threshold</t>
        </is>
      </c>
      <c r="F54" s="2" t="inlineStr">
        <is>
          <t>12개월 만기 기준, 경남은행 'The든든예금(시즌2)'의 최고 우대금리가 연 3.40% 이상인가?</t>
        </is>
      </c>
      <c r="G54" s="2" t="inlineStr">
        <is>
          <t>boolean</t>
        </is>
      </c>
      <c r="H54" s="2" t="inlineStr">
        <is>
          <t>YES</t>
        </is>
      </c>
      <c r="I54" s="2" t="inlineStr"/>
      <c r="J54" s="2" t="inlineStr">
        <is>
          <t>금융감독원 금융상품통합비교공시 Open API (finlife.fss.or.kr), 202608</t>
        </is>
      </c>
      <c r="K54" s="2" t="inlineStr">
        <is>
          <t>경남은행:21001280:intr_rate2(12개월)</t>
        </is>
      </c>
      <c r="L54" s="2" t="inlineStr">
        <is>
          <t>3.6</t>
        </is>
      </c>
    </row>
    <row r="55">
      <c r="A55" s="2" t="inlineStr">
        <is>
          <t>PRD-0054</t>
        </is>
      </c>
      <c r="B55" s="2" t="inlineStr">
        <is>
          <t>공시형</t>
        </is>
      </c>
      <c r="C55" s="2" t="inlineStr">
        <is>
          <t>예금</t>
        </is>
      </c>
      <c r="D55" s="2" t="inlineStr">
        <is>
          <t>정기예금</t>
        </is>
      </c>
      <c r="E55" s="2" t="inlineStr">
        <is>
          <t>rate_threshold</t>
        </is>
      </c>
      <c r="F55" s="2" t="inlineStr">
        <is>
          <t>연 3.80% 이상의 최고 우대금리를 경남은행 'The든든예금(시즌2)'의 12개월 만기에서 기대할 수 있는가?</t>
        </is>
      </c>
      <c r="G55" s="2" t="inlineStr">
        <is>
          <t>boolean</t>
        </is>
      </c>
      <c r="H55" s="2" t="inlineStr">
        <is>
          <t>NO</t>
        </is>
      </c>
      <c r="I55" s="2" t="inlineStr"/>
      <c r="J55" s="2" t="inlineStr">
        <is>
          <t>금융감독원 금융상품통합비교공시 Open API (finlife.fss.or.kr), 202608</t>
        </is>
      </c>
      <c r="K55" s="2" t="inlineStr">
        <is>
          <t>경남은행:21001280:intr_rate2(12개월)</t>
        </is>
      </c>
      <c r="L55" s="2" t="inlineStr">
        <is>
          <t>3.6</t>
        </is>
      </c>
    </row>
    <row r="56">
      <c r="A56" s="2" t="inlineStr">
        <is>
          <t>PRD-0055</t>
        </is>
      </c>
      <c r="B56" s="2" t="inlineStr">
        <is>
          <t>공시형</t>
        </is>
      </c>
      <c r="C56" s="2" t="inlineStr">
        <is>
          <t>예금</t>
        </is>
      </c>
      <c r="D56" s="2" t="inlineStr">
        <is>
          <t>정기예금</t>
        </is>
      </c>
      <c r="E56" s="2" t="inlineStr">
        <is>
          <t>rate_threshold</t>
        </is>
      </c>
      <c r="F56" s="2" t="inlineStr">
        <is>
          <t>12개월 만기 기준, 경남은행 'The파트너예금'의 최고 우대금리가 연 3.35% 이상인가?</t>
        </is>
      </c>
      <c r="G56" s="2" t="inlineStr">
        <is>
          <t>boolean</t>
        </is>
      </c>
      <c r="H56" s="2" t="inlineStr">
        <is>
          <t>YES</t>
        </is>
      </c>
      <c r="I56" s="2" t="inlineStr"/>
      <c r="J56" s="2" t="inlineStr">
        <is>
          <t>금융감독원 금융상품통합비교공시 Open API (finlife.fss.or.kr), 202608</t>
        </is>
      </c>
      <c r="K56" s="2" t="inlineStr">
        <is>
          <t>경남은행:21001285:intr_rate2(12개월)</t>
        </is>
      </c>
      <c r="L56" s="2" t="inlineStr">
        <is>
          <t>3.55</t>
        </is>
      </c>
    </row>
    <row r="57">
      <c r="A57" s="2" t="inlineStr">
        <is>
          <t>PRD-0056</t>
        </is>
      </c>
      <c r="B57" s="2" t="inlineStr">
        <is>
          <t>공시형</t>
        </is>
      </c>
      <c r="C57" s="2" t="inlineStr">
        <is>
          <t>예금</t>
        </is>
      </c>
      <c r="D57" s="2" t="inlineStr">
        <is>
          <t>정기예금</t>
        </is>
      </c>
      <c r="E57" s="2" t="inlineStr">
        <is>
          <t>rate_threshold</t>
        </is>
      </c>
      <c r="F57" s="2" t="inlineStr">
        <is>
          <t>12개월 만기 기준, 경남은행 'The파트너예금'의 최고 우대금리가 연 3.75% 이상인가?</t>
        </is>
      </c>
      <c r="G57" s="2" t="inlineStr">
        <is>
          <t>boolean</t>
        </is>
      </c>
      <c r="H57" s="2" t="inlineStr">
        <is>
          <t>NO</t>
        </is>
      </c>
      <c r="I57" s="2" t="inlineStr"/>
      <c r="J57" s="2" t="inlineStr">
        <is>
          <t>금융감독원 금융상품통합비교공시 Open API (finlife.fss.or.kr), 202608</t>
        </is>
      </c>
      <c r="K57" s="2" t="inlineStr">
        <is>
          <t>경남은행:21001285:intr_rate2(12개월)</t>
        </is>
      </c>
      <c r="L57" s="2" t="inlineStr">
        <is>
          <t>3.55</t>
        </is>
      </c>
    </row>
    <row r="58">
      <c r="A58" s="2" t="inlineStr">
        <is>
          <t>PRD-0057</t>
        </is>
      </c>
      <c r="B58" s="2" t="inlineStr">
        <is>
          <t>공시형</t>
        </is>
      </c>
      <c r="C58" s="2" t="inlineStr">
        <is>
          <t>예금</t>
        </is>
      </c>
      <c r="D58" s="2" t="inlineStr">
        <is>
          <t>정기예금</t>
        </is>
      </c>
      <c r="E58" s="2" t="inlineStr">
        <is>
          <t>rate_threshold</t>
        </is>
      </c>
      <c r="F58" s="2" t="inlineStr">
        <is>
          <t>12개월 만기 기준, 광주은행 '미즈월복리정기예금'의 최고 우대금리가 연 3.33% 이상인가?</t>
        </is>
      </c>
      <c r="G58" s="2" t="inlineStr">
        <is>
          <t>boolean</t>
        </is>
      </c>
      <c r="H58" s="2" t="inlineStr">
        <is>
          <t>YES</t>
        </is>
      </c>
      <c r="I58" s="2" t="inlineStr"/>
      <c r="J58" s="2" t="inlineStr">
        <is>
          <t>금융감독원 금융상품통합비교공시 Open API (finlife.fss.or.kr), 202608</t>
        </is>
      </c>
      <c r="K58" s="2" t="inlineStr">
        <is>
          <t>광주은행:TD11300027000:intr_rate2(12개월)</t>
        </is>
      </c>
      <c r="L58" s="2" t="inlineStr">
        <is>
          <t>3.53</t>
        </is>
      </c>
    </row>
    <row r="59">
      <c r="A59" s="2" t="inlineStr">
        <is>
          <t>PRD-0058</t>
        </is>
      </c>
      <c r="B59" s="2" t="inlineStr">
        <is>
          <t>공시형</t>
        </is>
      </c>
      <c r="C59" s="2" t="inlineStr">
        <is>
          <t>예금</t>
        </is>
      </c>
      <c r="D59" s="2" t="inlineStr">
        <is>
          <t>정기예금</t>
        </is>
      </c>
      <c r="E59" s="2" t="inlineStr">
        <is>
          <t>rate_threshold</t>
        </is>
      </c>
      <c r="F59" s="2" t="inlineStr">
        <is>
          <t>12개월 만기 기준, 광주은행 '미즈월복리정기예금'의 최고 우대금리가 연 3.73% 이상인가?</t>
        </is>
      </c>
      <c r="G59" s="2" t="inlineStr">
        <is>
          <t>boolean</t>
        </is>
      </c>
      <c r="H59" s="2" t="inlineStr">
        <is>
          <t>NO</t>
        </is>
      </c>
      <c r="I59" s="2" t="inlineStr"/>
      <c r="J59" s="2" t="inlineStr">
        <is>
          <t>금융감독원 금융상품통합비교공시 Open API (finlife.fss.or.kr), 202608</t>
        </is>
      </c>
      <c r="K59" s="2" t="inlineStr">
        <is>
          <t>광주은행:TD11300027000:intr_rate2(12개월)</t>
        </is>
      </c>
      <c r="L59" s="2" t="inlineStr">
        <is>
          <t>3.53</t>
        </is>
      </c>
    </row>
    <row r="60">
      <c r="A60" s="2" t="inlineStr">
        <is>
          <t>PRD-0059</t>
        </is>
      </c>
      <c r="B60" s="2" t="inlineStr">
        <is>
          <t>공시형</t>
        </is>
      </c>
      <c r="C60" s="2" t="inlineStr">
        <is>
          <t>예금</t>
        </is>
      </c>
      <c r="D60" s="2" t="inlineStr">
        <is>
          <t>정기예금</t>
        </is>
      </c>
      <c r="E60" s="2" t="inlineStr">
        <is>
          <t>rate_threshold</t>
        </is>
      </c>
      <c r="F60" s="2" t="inlineStr">
        <is>
          <t>12개월 만기 기준, 광주은행 '스마트모아Dream정기예금'의 최고 우대금리가 연 3.23% 이상인가?</t>
        </is>
      </c>
      <c r="G60" s="2" t="inlineStr">
        <is>
          <t>boolean</t>
        </is>
      </c>
      <c r="H60" s="2" t="inlineStr">
        <is>
          <t>YES</t>
        </is>
      </c>
      <c r="I60" s="2" t="inlineStr"/>
      <c r="J60" s="2" t="inlineStr">
        <is>
          <t>금융감독원 금융상품통합비교공시 Open API (finlife.fss.or.kr), 202608</t>
        </is>
      </c>
      <c r="K60" s="2" t="inlineStr">
        <is>
          <t>광주은행:TD11300031000:intr_rate2(12개월)</t>
        </is>
      </c>
      <c r="L60" s="2" t="inlineStr">
        <is>
          <t>3.43</t>
        </is>
      </c>
    </row>
    <row r="61">
      <c r="A61" s="2" t="inlineStr">
        <is>
          <t>PRD-0060</t>
        </is>
      </c>
      <c r="B61" s="2" t="inlineStr">
        <is>
          <t>공시형</t>
        </is>
      </c>
      <c r="C61" s="2" t="inlineStr">
        <is>
          <t>예금</t>
        </is>
      </c>
      <c r="D61" s="2" t="inlineStr">
        <is>
          <t>정기예금</t>
        </is>
      </c>
      <c r="E61" s="2" t="inlineStr">
        <is>
          <t>rate_threshold</t>
        </is>
      </c>
      <c r="F61" s="2" t="inlineStr">
        <is>
          <t>12개월 만기 기준, 광주은행 '스마트모아Dream정기예금'의 최고 우대금리가 연 3.63% 이상인가?</t>
        </is>
      </c>
      <c r="G61" s="2" t="inlineStr">
        <is>
          <t>boolean</t>
        </is>
      </c>
      <c r="H61" s="2" t="inlineStr">
        <is>
          <t>NO</t>
        </is>
      </c>
      <c r="I61" s="2" t="inlineStr"/>
      <c r="J61" s="2" t="inlineStr">
        <is>
          <t>금융감독원 금융상품통합비교공시 Open API (finlife.fss.or.kr), 202608</t>
        </is>
      </c>
      <c r="K61" s="2" t="inlineStr">
        <is>
          <t>광주은행:TD11300031000:intr_rate2(12개월)</t>
        </is>
      </c>
      <c r="L61" s="2" t="inlineStr">
        <is>
          <t>3.43</t>
        </is>
      </c>
    </row>
    <row r="62">
      <c r="A62" s="2" t="inlineStr">
        <is>
          <t>PRD-0061</t>
        </is>
      </c>
      <c r="B62" s="2" t="inlineStr">
        <is>
          <t>공시형</t>
        </is>
      </c>
      <c r="C62" s="2" t="inlineStr">
        <is>
          <t>예금</t>
        </is>
      </c>
      <c r="D62" s="2" t="inlineStr">
        <is>
          <t>정기예금</t>
        </is>
      </c>
      <c r="E62" s="2" t="inlineStr">
        <is>
          <t>rate_threshold</t>
        </is>
      </c>
      <c r="F62" s="2" t="inlineStr">
        <is>
          <t>연 3.43% 이상의 최고 우대금리를 광주은행 '굿스타트예금'의 12개월 만기에서 기대할 수 있는가?</t>
        </is>
      </c>
      <c r="G62" s="2" t="inlineStr">
        <is>
          <t>boolean</t>
        </is>
      </c>
      <c r="H62" s="2" t="inlineStr">
        <is>
          <t>YES</t>
        </is>
      </c>
      <c r="I62" s="2" t="inlineStr"/>
      <c r="J62" s="2" t="inlineStr">
        <is>
          <t>금융감독원 금융상품통합비교공시 Open API (finlife.fss.or.kr), 202608</t>
        </is>
      </c>
      <c r="K62" s="2" t="inlineStr">
        <is>
          <t>광주은행:TD11300035000:intr_rate2(12개월)</t>
        </is>
      </c>
      <c r="L62" s="2" t="inlineStr">
        <is>
          <t>3.63</t>
        </is>
      </c>
    </row>
    <row r="63">
      <c r="A63" s="2" t="inlineStr">
        <is>
          <t>PRD-0062</t>
        </is>
      </c>
      <c r="B63" s="2" t="inlineStr">
        <is>
          <t>공시형</t>
        </is>
      </c>
      <c r="C63" s="2" t="inlineStr">
        <is>
          <t>예금</t>
        </is>
      </c>
      <c r="D63" s="2" t="inlineStr">
        <is>
          <t>정기예금</t>
        </is>
      </c>
      <c r="E63" s="2" t="inlineStr">
        <is>
          <t>rate_threshold</t>
        </is>
      </c>
      <c r="F63" s="2" t="inlineStr">
        <is>
          <t>광주은행 '굿스타트예금'(12개월 만기)의 최고 우대금리는 연 3.83%보다 높거나 같은가?</t>
        </is>
      </c>
      <c r="G63" s="2" t="inlineStr">
        <is>
          <t>boolean</t>
        </is>
      </c>
      <c r="H63" s="2" t="inlineStr">
        <is>
          <t>NO</t>
        </is>
      </c>
      <c r="I63" s="2" t="inlineStr"/>
      <c r="J63" s="2" t="inlineStr">
        <is>
          <t>금융감독원 금융상품통합비교공시 Open API (finlife.fss.or.kr), 202608</t>
        </is>
      </c>
      <c r="K63" s="2" t="inlineStr">
        <is>
          <t>광주은행:TD11300035000:intr_rate2(12개월)</t>
        </is>
      </c>
      <c r="L63" s="2" t="inlineStr">
        <is>
          <t>3.63</t>
        </is>
      </c>
    </row>
    <row r="64">
      <c r="A64" s="2" t="inlineStr">
        <is>
          <t>PRD-0063</t>
        </is>
      </c>
      <c r="B64" s="2" t="inlineStr">
        <is>
          <t>공시형</t>
        </is>
      </c>
      <c r="C64" s="2" t="inlineStr">
        <is>
          <t>예금</t>
        </is>
      </c>
      <c r="D64" s="2" t="inlineStr">
        <is>
          <t>정기예금</t>
        </is>
      </c>
      <c r="E64" s="2" t="inlineStr">
        <is>
          <t>rate_threshold</t>
        </is>
      </c>
      <c r="F64" s="2" t="inlineStr">
        <is>
          <t>광주은행 'The플러스예금'의 12개월 만기 최고 우대금리는 연 2.50% 이상인가?</t>
        </is>
      </c>
      <c r="G64" s="2" t="inlineStr">
        <is>
          <t>boolean</t>
        </is>
      </c>
      <c r="H64" s="2" t="inlineStr">
        <is>
          <t>YES</t>
        </is>
      </c>
      <c r="I64" s="2" t="inlineStr"/>
      <c r="J64" s="2" t="inlineStr">
        <is>
          <t>금융감독원 금융상품통합비교공시 Open API (finlife.fss.or.kr), 202608</t>
        </is>
      </c>
      <c r="K64" s="2" t="inlineStr">
        <is>
          <t>광주은행:TD11300036000:intr_rate2(12개월)</t>
        </is>
      </c>
      <c r="L64" s="2" t="inlineStr">
        <is>
          <t>2.7</t>
        </is>
      </c>
    </row>
    <row r="65">
      <c r="A65" s="2" t="inlineStr">
        <is>
          <t>PRD-0064</t>
        </is>
      </c>
      <c r="B65" s="2" t="inlineStr">
        <is>
          <t>공시형</t>
        </is>
      </c>
      <c r="C65" s="2" t="inlineStr">
        <is>
          <t>예금</t>
        </is>
      </c>
      <c r="D65" s="2" t="inlineStr">
        <is>
          <t>정기예금</t>
        </is>
      </c>
      <c r="E65" s="2" t="inlineStr">
        <is>
          <t>rate_threshold</t>
        </is>
      </c>
      <c r="F65" s="2" t="inlineStr">
        <is>
          <t>연 2.90% 이상의 최고 우대금리를 광주은행 'The플러스예금'의 12개월 만기에서 기대할 수 있는가?</t>
        </is>
      </c>
      <c r="G65" s="2" t="inlineStr">
        <is>
          <t>boolean</t>
        </is>
      </c>
      <c r="H65" s="2" t="inlineStr">
        <is>
          <t>NO</t>
        </is>
      </c>
      <c r="I65" s="2" t="inlineStr"/>
      <c r="J65" s="2" t="inlineStr">
        <is>
          <t>금융감독원 금융상품통합비교공시 Open API (finlife.fss.or.kr), 202608</t>
        </is>
      </c>
      <c r="K65" s="2" t="inlineStr">
        <is>
          <t>광주은행:TD11300036000:intr_rate2(12개월)</t>
        </is>
      </c>
      <c r="L65" s="2" t="inlineStr">
        <is>
          <t>2.7</t>
        </is>
      </c>
    </row>
    <row r="66">
      <c r="A66" s="2" t="inlineStr">
        <is>
          <t>PRD-0065</t>
        </is>
      </c>
      <c r="B66" s="2" t="inlineStr">
        <is>
          <t>공시형</t>
        </is>
      </c>
      <c r="C66" s="2" t="inlineStr">
        <is>
          <t>예금</t>
        </is>
      </c>
      <c r="D66" s="2" t="inlineStr">
        <is>
          <t>정기예금</t>
        </is>
      </c>
      <c r="E66" s="2" t="inlineStr">
        <is>
          <t>rate_threshold</t>
        </is>
      </c>
      <c r="F66" s="2" t="inlineStr">
        <is>
          <t>국민은행 'KB Star 정기예금'의 12개월 만기 최고 우대금리는 연 3.00% 이상인가?</t>
        </is>
      </c>
      <c r="G66" s="2" t="inlineStr">
        <is>
          <t>boolean</t>
        </is>
      </c>
      <c r="H66" s="2" t="inlineStr">
        <is>
          <t>YES</t>
        </is>
      </c>
      <c r="I66" s="2" t="inlineStr"/>
      <c r="J66" s="2" t="inlineStr">
        <is>
          <t>금융감독원 금융상품통합비교공시 Open API (finlife.fss.or.kr), 202608</t>
        </is>
      </c>
      <c r="K66" s="2" t="inlineStr">
        <is>
          <t>국민은행:010300100335:intr_rate2(12개월)</t>
        </is>
      </c>
      <c r="L66" s="2" t="inlineStr">
        <is>
          <t>3.2</t>
        </is>
      </c>
    </row>
    <row r="67">
      <c r="A67" s="2" t="inlineStr">
        <is>
          <t>PRD-0066</t>
        </is>
      </c>
      <c r="B67" s="2" t="inlineStr">
        <is>
          <t>공시형</t>
        </is>
      </c>
      <c r="C67" s="2" t="inlineStr">
        <is>
          <t>예금</t>
        </is>
      </c>
      <c r="D67" s="2" t="inlineStr">
        <is>
          <t>정기예금</t>
        </is>
      </c>
      <c r="E67" s="2" t="inlineStr">
        <is>
          <t>rate_threshold</t>
        </is>
      </c>
      <c r="F67" s="2" t="inlineStr">
        <is>
          <t>연 3.40% 이상의 최고 우대금리를 국민은행 'KB Star 정기예금'의 12개월 만기에서 기대할 수 있는가?</t>
        </is>
      </c>
      <c r="G67" s="2" t="inlineStr">
        <is>
          <t>boolean</t>
        </is>
      </c>
      <c r="H67" s="2" t="inlineStr">
        <is>
          <t>NO</t>
        </is>
      </c>
      <c r="I67" s="2" t="inlineStr"/>
      <c r="J67" s="2" t="inlineStr">
        <is>
          <t>금융감독원 금융상품통합비교공시 Open API (finlife.fss.or.kr), 202608</t>
        </is>
      </c>
      <c r="K67" s="2" t="inlineStr">
        <is>
          <t>국민은행:010300100335:intr_rate2(12개월)</t>
        </is>
      </c>
      <c r="L67" s="2" t="inlineStr">
        <is>
          <t>3.2</t>
        </is>
      </c>
    </row>
    <row r="68">
      <c r="A68" s="2" t="inlineStr">
        <is>
          <t>PRD-0067</t>
        </is>
      </c>
      <c r="B68" s="2" t="inlineStr">
        <is>
          <t>공시형</t>
        </is>
      </c>
      <c r="C68" s="2" t="inlineStr">
        <is>
          <t>예금</t>
        </is>
      </c>
      <c r="D68" s="2" t="inlineStr">
        <is>
          <t>정기예금</t>
        </is>
      </c>
      <c r="E68" s="2" t="inlineStr">
        <is>
          <t>rate_threshold</t>
        </is>
      </c>
      <c r="F68" s="2" t="inlineStr">
        <is>
          <t>농협은행주식회사 'NH왈츠회전예금 II'(12개월 만기)의 최고 우대금리는 연 3.05%보다 높거나 같은가?</t>
        </is>
      </c>
      <c r="G68" s="2" t="inlineStr">
        <is>
          <t>boolean</t>
        </is>
      </c>
      <c r="H68" s="2" t="inlineStr">
        <is>
          <t>YES</t>
        </is>
      </c>
      <c r="I68" s="2" t="inlineStr"/>
      <c r="J68" s="2" t="inlineStr">
        <is>
          <t>금융감독원 금융상품통합비교공시 Open API (finlife.fss.or.kr), 202608</t>
        </is>
      </c>
      <c r="K68" s="2" t="inlineStr">
        <is>
          <t>농협은행주식회사:10-003-1225-0001:intr_rate2(12개월)</t>
        </is>
      </c>
      <c r="L68" s="2" t="inlineStr">
        <is>
          <t>3.25</t>
        </is>
      </c>
    </row>
    <row r="69">
      <c r="A69" s="2" t="inlineStr">
        <is>
          <t>PRD-0068</t>
        </is>
      </c>
      <c r="B69" s="2" t="inlineStr">
        <is>
          <t>공시형</t>
        </is>
      </c>
      <c r="C69" s="2" t="inlineStr">
        <is>
          <t>예금</t>
        </is>
      </c>
      <c r="D69" s="2" t="inlineStr">
        <is>
          <t>정기예금</t>
        </is>
      </c>
      <c r="E69" s="2" t="inlineStr">
        <is>
          <t>rate_threshold</t>
        </is>
      </c>
      <c r="F69" s="2" t="inlineStr">
        <is>
          <t>농협은행주식회사 'NH왈츠회전예금 II'(12개월 만기)의 최고 우대금리는 연 3.45%보다 높거나 같은가?</t>
        </is>
      </c>
      <c r="G69" s="2" t="inlineStr">
        <is>
          <t>boolean</t>
        </is>
      </c>
      <c r="H69" s="2" t="inlineStr">
        <is>
          <t>NO</t>
        </is>
      </c>
      <c r="I69" s="2" t="inlineStr"/>
      <c r="J69" s="2" t="inlineStr">
        <is>
          <t>금융감독원 금융상품통합비교공시 Open API (finlife.fss.or.kr), 202608</t>
        </is>
      </c>
      <c r="K69" s="2" t="inlineStr">
        <is>
          <t>농협은행주식회사:10-003-1225-0001:intr_rate2(12개월)</t>
        </is>
      </c>
      <c r="L69" s="2" t="inlineStr">
        <is>
          <t>3.25</t>
        </is>
      </c>
    </row>
    <row r="70">
      <c r="A70" s="2" t="inlineStr">
        <is>
          <t>PRD-0069</t>
        </is>
      </c>
      <c r="B70" s="2" t="inlineStr">
        <is>
          <t>공시형</t>
        </is>
      </c>
      <c r="C70" s="2" t="inlineStr">
        <is>
          <t>예금</t>
        </is>
      </c>
      <c r="D70" s="2" t="inlineStr">
        <is>
          <t>정기예금</t>
        </is>
      </c>
      <c r="E70" s="2" t="inlineStr">
        <is>
          <t>rate_threshold</t>
        </is>
      </c>
      <c r="F70" s="2" t="inlineStr">
        <is>
          <t>연 2.65% 이상의 최고 우대금리를 농협은행주식회사 'NH내가Green초록세상예금'의 12개월 만기에서 기대할 수 있는가?</t>
        </is>
      </c>
      <c r="G70" s="2" t="inlineStr">
        <is>
          <t>boolean</t>
        </is>
      </c>
      <c r="H70" s="2" t="inlineStr">
        <is>
          <t>YES</t>
        </is>
      </c>
      <c r="I70" s="2" t="inlineStr"/>
      <c r="J70" s="2" t="inlineStr">
        <is>
          <t>금융감독원 금융상품통합비교공시 Open API (finlife.fss.or.kr), 202608</t>
        </is>
      </c>
      <c r="K70" s="2" t="inlineStr">
        <is>
          <t>농협은행주식회사:10-003-1381-0001:intr_rate2(12개월)</t>
        </is>
      </c>
      <c r="L70" s="2" t="inlineStr">
        <is>
          <t>2.85</t>
        </is>
      </c>
    </row>
    <row r="71">
      <c r="A71" s="2" t="inlineStr">
        <is>
          <t>PRD-0070</t>
        </is>
      </c>
      <c r="B71" s="2" t="inlineStr">
        <is>
          <t>공시형</t>
        </is>
      </c>
      <c r="C71" s="2" t="inlineStr">
        <is>
          <t>예금</t>
        </is>
      </c>
      <c r="D71" s="2" t="inlineStr">
        <is>
          <t>정기예금</t>
        </is>
      </c>
      <c r="E71" s="2" t="inlineStr">
        <is>
          <t>rate_threshold</t>
        </is>
      </c>
      <c r="F71" s="2" t="inlineStr">
        <is>
          <t>연 3.05% 이상의 최고 우대금리를 농협은행주식회사 'NH내가Green초록세상예금'의 12개월 만기에서 기대할 수 있는가?</t>
        </is>
      </c>
      <c r="G71" s="2" t="inlineStr">
        <is>
          <t>boolean</t>
        </is>
      </c>
      <c r="H71" s="2" t="inlineStr">
        <is>
          <t>NO</t>
        </is>
      </c>
      <c r="I71" s="2" t="inlineStr"/>
      <c r="J71" s="2" t="inlineStr">
        <is>
          <t>금융감독원 금융상품통합비교공시 Open API (finlife.fss.or.kr), 202608</t>
        </is>
      </c>
      <c r="K71" s="2" t="inlineStr">
        <is>
          <t>농협은행주식회사:10-003-1381-0001:intr_rate2(12개월)</t>
        </is>
      </c>
      <c r="L71" s="2" t="inlineStr">
        <is>
          <t>2.85</t>
        </is>
      </c>
    </row>
    <row r="72">
      <c r="A72" s="2" t="inlineStr">
        <is>
          <t>PRD-0071</t>
        </is>
      </c>
      <c r="B72" s="2" t="inlineStr">
        <is>
          <t>공시형</t>
        </is>
      </c>
      <c r="C72" s="2" t="inlineStr">
        <is>
          <t>예금</t>
        </is>
      </c>
      <c r="D72" s="2" t="inlineStr">
        <is>
          <t>정기예금</t>
        </is>
      </c>
      <c r="E72" s="2" t="inlineStr">
        <is>
          <t>rate_threshold</t>
        </is>
      </c>
      <c r="F72" s="2" t="inlineStr">
        <is>
          <t>연 3.05% 이상의 최고 우대금리를 농협은행주식회사 'NH올원e예금'의 12개월 만기에서 기대할 수 있는가?</t>
        </is>
      </c>
      <c r="G72" s="2" t="inlineStr">
        <is>
          <t>boolean</t>
        </is>
      </c>
      <c r="H72" s="2" t="inlineStr">
        <is>
          <t>YES</t>
        </is>
      </c>
      <c r="I72" s="2" t="inlineStr"/>
      <c r="J72" s="2" t="inlineStr">
        <is>
          <t>금융감독원 금융상품통합비교공시 Open API (finlife.fss.or.kr), 202608</t>
        </is>
      </c>
      <c r="K72" s="2" t="inlineStr">
        <is>
          <t>농협은행주식회사:10-003-1384-0001:intr_rate2(12개월)</t>
        </is>
      </c>
      <c r="L72" s="2" t="inlineStr">
        <is>
          <t>3.25</t>
        </is>
      </c>
    </row>
    <row r="73">
      <c r="A73" s="2" t="inlineStr">
        <is>
          <t>PRD-0072</t>
        </is>
      </c>
      <c r="B73" s="2" t="inlineStr">
        <is>
          <t>공시형</t>
        </is>
      </c>
      <c r="C73" s="2" t="inlineStr">
        <is>
          <t>예금</t>
        </is>
      </c>
      <c r="D73" s="2" t="inlineStr">
        <is>
          <t>정기예금</t>
        </is>
      </c>
      <c r="E73" s="2" t="inlineStr">
        <is>
          <t>rate_threshold</t>
        </is>
      </c>
      <c r="F73" s="2" t="inlineStr">
        <is>
          <t>농협은행주식회사 'NH올원e예금'의 12개월 만기 최고 우대금리는 연 3.45% 이상인가?</t>
        </is>
      </c>
      <c r="G73" s="2" t="inlineStr">
        <is>
          <t>boolean</t>
        </is>
      </c>
      <c r="H73" s="2" t="inlineStr">
        <is>
          <t>NO</t>
        </is>
      </c>
      <c r="I73" s="2" t="inlineStr"/>
      <c r="J73" s="2" t="inlineStr">
        <is>
          <t>금융감독원 금융상품통합비교공시 Open API (finlife.fss.or.kr), 202608</t>
        </is>
      </c>
      <c r="K73" s="2" t="inlineStr">
        <is>
          <t>농협은행주식회사:10-003-1384-0001:intr_rate2(12개월)</t>
        </is>
      </c>
      <c r="L73" s="2" t="inlineStr">
        <is>
          <t>3.25</t>
        </is>
      </c>
    </row>
    <row r="74">
      <c r="A74" s="2" t="inlineStr">
        <is>
          <t>PRD-0073</t>
        </is>
      </c>
      <c r="B74" s="2" t="inlineStr">
        <is>
          <t>공시형</t>
        </is>
      </c>
      <c r="C74" s="2" t="inlineStr">
        <is>
          <t>예금</t>
        </is>
      </c>
      <c r="D74" s="2" t="inlineStr">
        <is>
          <t>정기예금</t>
        </is>
      </c>
      <c r="E74" s="2" t="inlineStr">
        <is>
          <t>rate_threshold</t>
        </is>
      </c>
      <c r="F74" s="2" t="inlineStr">
        <is>
          <t>농협은행주식회사 'NH고향사랑기부예금'의 12개월 만기 최고 우대금리는 연 2.70% 이상인가?</t>
        </is>
      </c>
      <c r="G74" s="2" t="inlineStr">
        <is>
          <t>boolean</t>
        </is>
      </c>
      <c r="H74" s="2" t="inlineStr">
        <is>
          <t>YES</t>
        </is>
      </c>
      <c r="I74" s="2" t="inlineStr"/>
      <c r="J74" s="2" t="inlineStr">
        <is>
          <t>금융감독원 금융상품통합비교공시 Open API (finlife.fss.or.kr), 202608</t>
        </is>
      </c>
      <c r="K74" s="2" t="inlineStr">
        <is>
          <t>농협은행주식회사:10-003-1387-0001:intr_rate2(12개월)</t>
        </is>
      </c>
      <c r="L74" s="2" t="inlineStr">
        <is>
          <t>2.9</t>
        </is>
      </c>
    </row>
    <row r="75">
      <c r="A75" s="2" t="inlineStr">
        <is>
          <t>PRD-0074</t>
        </is>
      </c>
      <c r="B75" s="2" t="inlineStr">
        <is>
          <t>공시형</t>
        </is>
      </c>
      <c r="C75" s="2" t="inlineStr">
        <is>
          <t>예금</t>
        </is>
      </c>
      <c r="D75" s="2" t="inlineStr">
        <is>
          <t>정기예금</t>
        </is>
      </c>
      <c r="E75" s="2" t="inlineStr">
        <is>
          <t>rate_threshold</t>
        </is>
      </c>
      <c r="F75" s="2" t="inlineStr">
        <is>
          <t>12개월 만기 기준, 농협은행주식회사 'NH고향사랑기부예금'의 최고 우대금리가 연 3.10% 이상인가?</t>
        </is>
      </c>
      <c r="G75" s="2" t="inlineStr">
        <is>
          <t>boolean</t>
        </is>
      </c>
      <c r="H75" s="2" t="inlineStr">
        <is>
          <t>NO</t>
        </is>
      </c>
      <c r="I75" s="2" t="inlineStr"/>
      <c r="J75" s="2" t="inlineStr">
        <is>
          <t>금융감독원 금융상품통합비교공시 Open API (finlife.fss.or.kr), 202608</t>
        </is>
      </c>
      <c r="K75" s="2" t="inlineStr">
        <is>
          <t>농협은행주식회사:10-003-1387-0001:intr_rate2(12개월)</t>
        </is>
      </c>
      <c r="L75" s="2" t="inlineStr">
        <is>
          <t>2.9</t>
        </is>
      </c>
    </row>
    <row r="76">
      <c r="A76" s="2" t="inlineStr">
        <is>
          <t>PRD-0075</t>
        </is>
      </c>
      <c r="B76" s="2" t="inlineStr">
        <is>
          <t>공시형</t>
        </is>
      </c>
      <c r="C76" s="2" t="inlineStr">
        <is>
          <t>예금</t>
        </is>
      </c>
      <c r="D76" s="2" t="inlineStr">
        <is>
          <t>정기예금</t>
        </is>
      </c>
      <c r="E76" s="2" t="inlineStr">
        <is>
          <t>rate_threshold</t>
        </is>
      </c>
      <c r="F76" s="2" t="inlineStr">
        <is>
          <t>12개월 만기 기준, 부산은행 'LIVE정기예금'의 최고 우대금리가 연 2.60% 이상인가?</t>
        </is>
      </c>
      <c r="G76" s="2" t="inlineStr">
        <is>
          <t>boolean</t>
        </is>
      </c>
      <c r="H76" s="2" t="inlineStr">
        <is>
          <t>YES</t>
        </is>
      </c>
      <c r="I76" s="2" t="inlineStr"/>
      <c r="J76" s="2" t="inlineStr">
        <is>
          <t>금융감독원 금융상품통합비교공시 Open API (finlife.fss.or.kr), 202608</t>
        </is>
      </c>
      <c r="K76" s="2" t="inlineStr">
        <is>
          <t>부산은행:01030500510002:intr_rate2(12개월)</t>
        </is>
      </c>
      <c r="L76" s="2" t="inlineStr">
        <is>
          <t>2.8</t>
        </is>
      </c>
    </row>
    <row r="77">
      <c r="A77" s="2" t="inlineStr">
        <is>
          <t>PRD-0076</t>
        </is>
      </c>
      <c r="B77" s="2" t="inlineStr">
        <is>
          <t>공시형</t>
        </is>
      </c>
      <c r="C77" s="2" t="inlineStr">
        <is>
          <t>예금</t>
        </is>
      </c>
      <c r="D77" s="2" t="inlineStr">
        <is>
          <t>정기예금</t>
        </is>
      </c>
      <c r="E77" s="2" t="inlineStr">
        <is>
          <t>rate_threshold</t>
        </is>
      </c>
      <c r="F77" s="2" t="inlineStr">
        <is>
          <t>부산은행 'LIVE정기예금'의 12개월 만기 최고 우대금리는 연 3.00% 이상인가?</t>
        </is>
      </c>
      <c r="G77" s="2" t="inlineStr">
        <is>
          <t>boolean</t>
        </is>
      </c>
      <c r="H77" s="2" t="inlineStr">
        <is>
          <t>NO</t>
        </is>
      </c>
      <c r="I77" s="2" t="inlineStr"/>
      <c r="J77" s="2" t="inlineStr">
        <is>
          <t>금융감독원 금융상품통합비교공시 Open API (finlife.fss.or.kr), 202608</t>
        </is>
      </c>
      <c r="K77" s="2" t="inlineStr">
        <is>
          <t>부산은행:01030500510002:intr_rate2(12개월)</t>
        </is>
      </c>
      <c r="L77" s="2" t="inlineStr">
        <is>
          <t>2.8</t>
        </is>
      </c>
    </row>
    <row r="78">
      <c r="A78" s="2" t="inlineStr">
        <is>
          <t>PRD-0077</t>
        </is>
      </c>
      <c r="B78" s="2" t="inlineStr">
        <is>
          <t>공시형</t>
        </is>
      </c>
      <c r="C78" s="2" t="inlineStr">
        <is>
          <t>예금</t>
        </is>
      </c>
      <c r="D78" s="2" t="inlineStr">
        <is>
          <t>정기예금</t>
        </is>
      </c>
      <c r="E78" s="2" t="inlineStr">
        <is>
          <t>rate_threshold</t>
        </is>
      </c>
      <c r="F78" s="2" t="inlineStr">
        <is>
          <t>부산은행 '더(The) 특판 정기예금'의 12개월 만기 최고 우대금리는 연 3.35% 이상인가?</t>
        </is>
      </c>
      <c r="G78" s="2" t="inlineStr">
        <is>
          <t>boolean</t>
        </is>
      </c>
      <c r="H78" s="2" t="inlineStr">
        <is>
          <t>YES</t>
        </is>
      </c>
      <c r="I78" s="2" t="inlineStr"/>
      <c r="J78" s="2" t="inlineStr">
        <is>
          <t>금융감독원 금융상품통합비교공시 Open API (finlife.fss.or.kr), 202608</t>
        </is>
      </c>
      <c r="K78" s="2" t="inlineStr">
        <is>
          <t>부산은행:01030500560002:intr_rate2(12개월)</t>
        </is>
      </c>
      <c r="L78" s="2" t="inlineStr">
        <is>
          <t>3.55</t>
        </is>
      </c>
    </row>
    <row r="79">
      <c r="A79" s="2" t="inlineStr">
        <is>
          <t>PRD-0078</t>
        </is>
      </c>
      <c r="B79" s="2" t="inlineStr">
        <is>
          <t>공시형</t>
        </is>
      </c>
      <c r="C79" s="2" t="inlineStr">
        <is>
          <t>예금</t>
        </is>
      </c>
      <c r="D79" s="2" t="inlineStr">
        <is>
          <t>정기예금</t>
        </is>
      </c>
      <c r="E79" s="2" t="inlineStr">
        <is>
          <t>rate_threshold</t>
        </is>
      </c>
      <c r="F79" s="2" t="inlineStr">
        <is>
          <t>12개월 만기 기준, 부산은행 '더(The) 특판 정기예금'의 최고 우대금리가 연 3.75% 이상인가?</t>
        </is>
      </c>
      <c r="G79" s="2" t="inlineStr">
        <is>
          <t>boolean</t>
        </is>
      </c>
      <c r="H79" s="2" t="inlineStr">
        <is>
          <t>NO</t>
        </is>
      </c>
      <c r="I79" s="2" t="inlineStr"/>
      <c r="J79" s="2" t="inlineStr">
        <is>
          <t>금융감독원 금융상품통합비교공시 Open API (finlife.fss.or.kr), 202608</t>
        </is>
      </c>
      <c r="K79" s="2" t="inlineStr">
        <is>
          <t>부산은행:01030500560002:intr_rate2(12개월)</t>
        </is>
      </c>
      <c r="L79" s="2" t="inlineStr">
        <is>
          <t>3.55</t>
        </is>
      </c>
    </row>
    <row r="80">
      <c r="A80" s="2" t="inlineStr">
        <is>
          <t>PRD-0079</t>
        </is>
      </c>
      <c r="B80" s="2" t="inlineStr">
        <is>
          <t>공시형</t>
        </is>
      </c>
      <c r="C80" s="2" t="inlineStr">
        <is>
          <t>예금</t>
        </is>
      </c>
      <c r="D80" s="2" t="inlineStr">
        <is>
          <t>정기예금</t>
        </is>
      </c>
      <c r="E80" s="2" t="inlineStr">
        <is>
          <t>rate_threshold</t>
        </is>
      </c>
      <c r="F80" s="2" t="inlineStr">
        <is>
          <t>12개월 만기 기준, 부산은행 '더(The) 레벨업 정기예금'의 최고 우대금리가 연 3.35% 이상인가?</t>
        </is>
      </c>
      <c r="G80" s="2" t="inlineStr">
        <is>
          <t>boolean</t>
        </is>
      </c>
      <c r="H80" s="2" t="inlineStr">
        <is>
          <t>YES</t>
        </is>
      </c>
      <c r="I80" s="2" t="inlineStr"/>
      <c r="J80" s="2" t="inlineStr">
        <is>
          <t>금융감독원 금융상품통합비교공시 Open API (finlife.fss.or.kr), 202608</t>
        </is>
      </c>
      <c r="K80" s="2" t="inlineStr">
        <is>
          <t>부산은행:01030500600002:intr_rate2(12개월)</t>
        </is>
      </c>
      <c r="L80" s="2" t="inlineStr">
        <is>
          <t>3.55</t>
        </is>
      </c>
    </row>
    <row r="81">
      <c r="A81" s="2" t="inlineStr">
        <is>
          <t>PRD-0080</t>
        </is>
      </c>
      <c r="B81" s="2" t="inlineStr">
        <is>
          <t>공시형</t>
        </is>
      </c>
      <c r="C81" s="2" t="inlineStr">
        <is>
          <t>예금</t>
        </is>
      </c>
      <c r="D81" s="2" t="inlineStr">
        <is>
          <t>정기예금</t>
        </is>
      </c>
      <c r="E81" s="2" t="inlineStr">
        <is>
          <t>rate_threshold</t>
        </is>
      </c>
      <c r="F81" s="2" t="inlineStr">
        <is>
          <t>연 3.75% 이상의 최고 우대금리를 부산은행 '더(The) 레벨업 정기예금'의 12개월 만기에서 기대할 수 있는가?</t>
        </is>
      </c>
      <c r="G81" s="2" t="inlineStr">
        <is>
          <t>boolean</t>
        </is>
      </c>
      <c r="H81" s="2" t="inlineStr">
        <is>
          <t>NO</t>
        </is>
      </c>
      <c r="I81" s="2" t="inlineStr"/>
      <c r="J81" s="2" t="inlineStr">
        <is>
          <t>금융감독원 금융상품통합비교공시 Open API (finlife.fss.or.kr), 202608</t>
        </is>
      </c>
      <c r="K81" s="2" t="inlineStr">
        <is>
          <t>부산은행:01030500600002:intr_rate2(12개월)</t>
        </is>
      </c>
      <c r="L81" s="2" t="inlineStr">
        <is>
          <t>3.55</t>
        </is>
      </c>
    </row>
    <row r="82">
      <c r="A82" s="2" t="inlineStr">
        <is>
          <t>PRD-0081</t>
        </is>
      </c>
      <c r="B82" s="2" t="inlineStr">
        <is>
          <t>공시형</t>
        </is>
      </c>
      <c r="C82" s="2" t="inlineStr">
        <is>
          <t>예금</t>
        </is>
      </c>
      <c r="D82" s="2" t="inlineStr">
        <is>
          <t>정기예금</t>
        </is>
      </c>
      <c r="E82" s="2" t="inlineStr">
        <is>
          <t>rate_threshold</t>
        </is>
      </c>
      <c r="F82" s="2" t="inlineStr">
        <is>
          <t>수협은행 'Sh해양플라스틱Zero!예금 (만기일시지급식)'의 12개월 만기 최고 우대금리는 연 3.41% 이상인가?</t>
        </is>
      </c>
      <c r="G82" s="2" t="inlineStr">
        <is>
          <t>boolean</t>
        </is>
      </c>
      <c r="H82" s="2" t="inlineStr">
        <is>
          <t>YES</t>
        </is>
      </c>
      <c r="I82" s="2" t="inlineStr"/>
      <c r="J82" s="2" t="inlineStr">
        <is>
          <t>금융감독원 금융상품통합비교공시 Open API (finlife.fss.or.kr), 202608</t>
        </is>
      </c>
      <c r="K82" s="2" t="inlineStr">
        <is>
          <t>수협은행:10120114300011:intr_rate2(12개월)</t>
        </is>
      </c>
      <c r="L82" s="2" t="inlineStr">
        <is>
          <t>3.61</t>
        </is>
      </c>
    </row>
    <row r="83">
      <c r="A83" s="2" t="inlineStr">
        <is>
          <t>PRD-0082</t>
        </is>
      </c>
      <c r="B83" s="2" t="inlineStr">
        <is>
          <t>공시형</t>
        </is>
      </c>
      <c r="C83" s="2" t="inlineStr">
        <is>
          <t>예금</t>
        </is>
      </c>
      <c r="D83" s="2" t="inlineStr">
        <is>
          <t>정기예금</t>
        </is>
      </c>
      <c r="E83" s="2" t="inlineStr">
        <is>
          <t>rate_threshold</t>
        </is>
      </c>
      <c r="F83" s="2" t="inlineStr">
        <is>
          <t>연 3.81% 이상의 최고 우대금리를 수협은행 'Sh해양플라스틱Zero!예금 (만기일시지급식)'의 12개월 만기에서 기대할 수 있는가?</t>
        </is>
      </c>
      <c r="G83" s="2" t="inlineStr">
        <is>
          <t>boolean</t>
        </is>
      </c>
      <c r="H83" s="2" t="inlineStr">
        <is>
          <t>NO</t>
        </is>
      </c>
      <c r="I83" s="2" t="inlineStr"/>
      <c r="J83" s="2" t="inlineStr">
        <is>
          <t>금융감독원 금융상품통합비교공시 Open API (finlife.fss.or.kr), 202608</t>
        </is>
      </c>
      <c r="K83" s="2" t="inlineStr">
        <is>
          <t>수협은행:10120114300011:intr_rate2(12개월)</t>
        </is>
      </c>
      <c r="L83" s="2" t="inlineStr">
        <is>
          <t>3.61</t>
        </is>
      </c>
    </row>
    <row r="84">
      <c r="A84" s="2" t="inlineStr">
        <is>
          <t>PRD-0083</t>
        </is>
      </c>
      <c r="B84" s="2" t="inlineStr">
        <is>
          <t>공시형</t>
        </is>
      </c>
      <c r="C84" s="2" t="inlineStr">
        <is>
          <t>예금</t>
        </is>
      </c>
      <c r="D84" s="2" t="inlineStr">
        <is>
          <t>정기예금</t>
        </is>
      </c>
      <c r="E84" s="2" t="inlineStr">
        <is>
          <t>rate_threshold</t>
        </is>
      </c>
      <c r="F84" s="2" t="inlineStr">
        <is>
          <t>수협은행 '헤이(Hey)정기예금'(12개월 만기)의 최고 우대금리는 연 3.41%보다 높거나 같은가?</t>
        </is>
      </c>
      <c r="G84" s="2" t="inlineStr">
        <is>
          <t>boolean</t>
        </is>
      </c>
      <c r="H84" s="2" t="inlineStr">
        <is>
          <t>YES</t>
        </is>
      </c>
      <c r="I84" s="2" t="inlineStr"/>
      <c r="J84" s="2" t="inlineStr">
        <is>
          <t>금융감독원 금융상품통합비교공시 Open API (finlife.fss.or.kr), 202608</t>
        </is>
      </c>
      <c r="K84" s="2" t="inlineStr">
        <is>
          <t>수협은행:10120114700011:intr_rate2(12개월)</t>
        </is>
      </c>
      <c r="L84" s="2" t="inlineStr">
        <is>
          <t>3.61</t>
        </is>
      </c>
    </row>
    <row r="85">
      <c r="A85" s="2" t="inlineStr">
        <is>
          <t>PRD-0084</t>
        </is>
      </c>
      <c r="B85" s="2" t="inlineStr">
        <is>
          <t>공시형</t>
        </is>
      </c>
      <c r="C85" s="2" t="inlineStr">
        <is>
          <t>예금</t>
        </is>
      </c>
      <c r="D85" s="2" t="inlineStr">
        <is>
          <t>정기예금</t>
        </is>
      </c>
      <c r="E85" s="2" t="inlineStr">
        <is>
          <t>rate_threshold</t>
        </is>
      </c>
      <c r="F85" s="2" t="inlineStr">
        <is>
          <t>연 3.81% 이상의 최고 우대금리를 수협은행 '헤이(Hey)정기예금'의 12개월 만기에서 기대할 수 있는가?</t>
        </is>
      </c>
      <c r="G85" s="2" t="inlineStr">
        <is>
          <t>boolean</t>
        </is>
      </c>
      <c r="H85" s="2" t="inlineStr">
        <is>
          <t>NO</t>
        </is>
      </c>
      <c r="I85" s="2" t="inlineStr"/>
      <c r="J85" s="2" t="inlineStr">
        <is>
          <t>금융감독원 금융상품통합비교공시 Open API (finlife.fss.or.kr), 202608</t>
        </is>
      </c>
      <c r="K85" s="2" t="inlineStr">
        <is>
          <t>수협은행:10120114700011:intr_rate2(12개월)</t>
        </is>
      </c>
      <c r="L85" s="2" t="inlineStr">
        <is>
          <t>3.61</t>
        </is>
      </c>
    </row>
    <row r="86">
      <c r="A86" s="2" t="inlineStr">
        <is>
          <t>PRD-0085</t>
        </is>
      </c>
      <c r="B86" s="2" t="inlineStr">
        <is>
          <t>공시형</t>
        </is>
      </c>
      <c r="C86" s="2" t="inlineStr">
        <is>
          <t>예금</t>
        </is>
      </c>
      <c r="D86" s="2" t="inlineStr">
        <is>
          <t>정기예금</t>
        </is>
      </c>
      <c r="E86" s="2" t="inlineStr">
        <is>
          <t>rate_threshold</t>
        </is>
      </c>
      <c r="F86" s="2" t="inlineStr">
        <is>
          <t>수협은행 'Sh첫만남우대예금'의 12개월 만기 최고 우대금리는 연 3.55% 이상인가?</t>
        </is>
      </c>
      <c r="G86" s="2" t="inlineStr">
        <is>
          <t>boolean</t>
        </is>
      </c>
      <c r="H86" s="2" t="inlineStr">
        <is>
          <t>YES</t>
        </is>
      </c>
      <c r="I86" s="2" t="inlineStr"/>
      <c r="J86" s="2" t="inlineStr">
        <is>
          <t>금융감독원 금융상품통합비교공시 Open API (finlife.fss.or.kr), 202608</t>
        </is>
      </c>
      <c r="K86" s="2" t="inlineStr">
        <is>
          <t>수협은행:10120116100011:intr_rate2(12개월)</t>
        </is>
      </c>
      <c r="L86" s="2" t="inlineStr">
        <is>
          <t>3.75</t>
        </is>
      </c>
    </row>
    <row r="87">
      <c r="A87" s="2" t="inlineStr">
        <is>
          <t>PRD-0086</t>
        </is>
      </c>
      <c r="B87" s="2" t="inlineStr">
        <is>
          <t>공시형</t>
        </is>
      </c>
      <c r="C87" s="2" t="inlineStr">
        <is>
          <t>예금</t>
        </is>
      </c>
      <c r="D87" s="2" t="inlineStr">
        <is>
          <t>정기예금</t>
        </is>
      </c>
      <c r="E87" s="2" t="inlineStr">
        <is>
          <t>rate_threshold</t>
        </is>
      </c>
      <c r="F87" s="2" t="inlineStr">
        <is>
          <t>수협은행 'Sh첫만남우대예금'의 12개월 만기 최고 우대금리는 연 3.95% 이상인가?</t>
        </is>
      </c>
      <c r="G87" s="2" t="inlineStr">
        <is>
          <t>boolean</t>
        </is>
      </c>
      <c r="H87" s="2" t="inlineStr">
        <is>
          <t>NO</t>
        </is>
      </c>
      <c r="I87" s="2" t="inlineStr"/>
      <c r="J87" s="2" t="inlineStr">
        <is>
          <t>금융감독원 금융상품통합비교공시 Open API (finlife.fss.or.kr), 202608</t>
        </is>
      </c>
      <c r="K87" s="2" t="inlineStr">
        <is>
          <t>수협은행:10120116100011:intr_rate2(12개월)</t>
        </is>
      </c>
      <c r="L87" s="2" t="inlineStr">
        <is>
          <t>3.75</t>
        </is>
      </c>
    </row>
    <row r="88">
      <c r="A88" s="2" t="inlineStr">
        <is>
          <t>PRD-0087</t>
        </is>
      </c>
      <c r="B88" s="2" t="inlineStr">
        <is>
          <t>공시형</t>
        </is>
      </c>
      <c r="C88" s="2" t="inlineStr">
        <is>
          <t>예금</t>
        </is>
      </c>
      <c r="D88" s="2" t="inlineStr">
        <is>
          <t>정기예금</t>
        </is>
      </c>
      <c r="E88" s="2" t="inlineStr">
        <is>
          <t>rate_threshold</t>
        </is>
      </c>
      <c r="F88" s="2" t="inlineStr">
        <is>
          <t>신한은행 '신한My플러스 정기예금'(12개월 만기)의 최고 우대금리는 연 3.10%보다 높거나 같은가?</t>
        </is>
      </c>
      <c r="G88" s="2" t="inlineStr">
        <is>
          <t>boolean</t>
        </is>
      </c>
      <c r="H88" s="2" t="inlineStr">
        <is>
          <t>YES</t>
        </is>
      </c>
      <c r="I88" s="2" t="inlineStr"/>
      <c r="J88" s="2" t="inlineStr">
        <is>
          <t>금융감독원 금융상품통합비교공시 Open API (finlife.fss.or.kr), 202608</t>
        </is>
      </c>
      <c r="K88" s="2" t="inlineStr">
        <is>
          <t>신한은행:207-0134-16:intr_rate2(12개월)</t>
        </is>
      </c>
      <c r="L88" s="2" t="inlineStr">
        <is>
          <t>3.3</t>
        </is>
      </c>
    </row>
    <row r="89">
      <c r="A89" s="2" t="inlineStr">
        <is>
          <t>PRD-0088</t>
        </is>
      </c>
      <c r="B89" s="2" t="inlineStr">
        <is>
          <t>공시형</t>
        </is>
      </c>
      <c r="C89" s="2" t="inlineStr">
        <is>
          <t>예금</t>
        </is>
      </c>
      <c r="D89" s="2" t="inlineStr">
        <is>
          <t>정기예금</t>
        </is>
      </c>
      <c r="E89" s="2" t="inlineStr">
        <is>
          <t>rate_threshold</t>
        </is>
      </c>
      <c r="F89" s="2" t="inlineStr">
        <is>
          <t>연 3.50% 이상의 최고 우대금리를 신한은행 '신한My플러스 정기예금'의 12개월 만기에서 기대할 수 있는가?</t>
        </is>
      </c>
      <c r="G89" s="2" t="inlineStr">
        <is>
          <t>boolean</t>
        </is>
      </c>
      <c r="H89" s="2" t="inlineStr">
        <is>
          <t>NO</t>
        </is>
      </c>
      <c r="I89" s="2" t="inlineStr"/>
      <c r="J89" s="2" t="inlineStr">
        <is>
          <t>금융감독원 금융상품통합비교공시 Open API (finlife.fss.or.kr), 202608</t>
        </is>
      </c>
      <c r="K89" s="2" t="inlineStr">
        <is>
          <t>신한은행:207-0134-16:intr_rate2(12개월)</t>
        </is>
      </c>
      <c r="L89" s="2" t="inlineStr">
        <is>
          <t>3.3</t>
        </is>
      </c>
    </row>
    <row r="90">
      <c r="A90" s="2" t="inlineStr">
        <is>
          <t>PRD-0089</t>
        </is>
      </c>
      <c r="B90" s="2" t="inlineStr">
        <is>
          <t>공시형</t>
        </is>
      </c>
      <c r="C90" s="2" t="inlineStr">
        <is>
          <t>예금</t>
        </is>
      </c>
      <c r="D90" s="2" t="inlineStr">
        <is>
          <t>정기예금</t>
        </is>
      </c>
      <c r="E90" s="2" t="inlineStr">
        <is>
          <t>rate_threshold</t>
        </is>
      </c>
      <c r="F90" s="2" t="inlineStr">
        <is>
          <t>신한은행 '쏠편한 정기예금'의 12개월 만기 최고 우대금리는 연 3.00% 이상인가?</t>
        </is>
      </c>
      <c r="G90" s="2" t="inlineStr">
        <is>
          <t>boolean</t>
        </is>
      </c>
      <c r="H90" s="2" t="inlineStr">
        <is>
          <t>YES</t>
        </is>
      </c>
      <c r="I90" s="2" t="inlineStr"/>
      <c r="J90" s="2" t="inlineStr">
        <is>
          <t>금융감독원 금융상품통합비교공시 Open API (finlife.fss.or.kr), 202608</t>
        </is>
      </c>
      <c r="K90" s="2" t="inlineStr">
        <is>
          <t>신한은행:207-0135-12:intr_rate2(12개월)</t>
        </is>
      </c>
      <c r="L90" s="2" t="inlineStr">
        <is>
          <t>3.2</t>
        </is>
      </c>
    </row>
    <row r="91">
      <c r="A91" s="2" t="inlineStr">
        <is>
          <t>PRD-0090</t>
        </is>
      </c>
      <c r="B91" s="2" t="inlineStr">
        <is>
          <t>공시형</t>
        </is>
      </c>
      <c r="C91" s="2" t="inlineStr">
        <is>
          <t>예금</t>
        </is>
      </c>
      <c r="D91" s="2" t="inlineStr">
        <is>
          <t>정기예금</t>
        </is>
      </c>
      <c r="E91" s="2" t="inlineStr">
        <is>
          <t>rate_threshold</t>
        </is>
      </c>
      <c r="F91" s="2" t="inlineStr">
        <is>
          <t>신한은행 '쏠편한 정기예금'의 12개월 만기 최고 우대금리는 연 3.40% 이상인가?</t>
        </is>
      </c>
      <c r="G91" s="2" t="inlineStr">
        <is>
          <t>boolean</t>
        </is>
      </c>
      <c r="H91" s="2" t="inlineStr">
        <is>
          <t>NO</t>
        </is>
      </c>
      <c r="I91" s="2" t="inlineStr"/>
      <c r="J91" s="2" t="inlineStr">
        <is>
          <t>금융감독원 금융상품통합비교공시 Open API (finlife.fss.or.kr), 202608</t>
        </is>
      </c>
      <c r="K91" s="2" t="inlineStr">
        <is>
          <t>신한은행:207-0135-12:intr_rate2(12개월)</t>
        </is>
      </c>
      <c r="L91" s="2" t="inlineStr">
        <is>
          <t>3.2</t>
        </is>
      </c>
    </row>
    <row r="92">
      <c r="A92" s="2" t="inlineStr">
        <is>
          <t>PRD-0091</t>
        </is>
      </c>
      <c r="B92" s="2" t="inlineStr">
        <is>
          <t>공시형</t>
        </is>
      </c>
      <c r="C92" s="2" t="inlineStr">
        <is>
          <t>예금</t>
        </is>
      </c>
      <c r="D92" s="2" t="inlineStr">
        <is>
          <t>정기예금</t>
        </is>
      </c>
      <c r="E92" s="2" t="inlineStr">
        <is>
          <t>rate_threshold</t>
        </is>
      </c>
      <c r="F92" s="2" t="inlineStr">
        <is>
          <t>12개월 만기 기준, 아이엠뱅크 'iM함께예금'의 최고 우대금리가 연 3.35% 이상인가?</t>
        </is>
      </c>
      <c r="G92" s="2" t="inlineStr">
        <is>
          <t>boolean</t>
        </is>
      </c>
      <c r="H92" s="2" t="inlineStr">
        <is>
          <t>YES</t>
        </is>
      </c>
      <c r="I92" s="2" t="inlineStr"/>
      <c r="J92" s="2" t="inlineStr">
        <is>
          <t>금융감독원 금융상품통합비교공시 Open API (finlife.fss.or.kr), 202608</t>
        </is>
      </c>
      <c r="K92" s="2" t="inlineStr">
        <is>
          <t>아이엠뱅크:10511008001166004:intr_rate2(12개월)</t>
        </is>
      </c>
      <c r="L92" s="2" t="inlineStr">
        <is>
          <t>3.55</t>
        </is>
      </c>
    </row>
    <row r="93">
      <c r="A93" s="2" t="inlineStr">
        <is>
          <t>PRD-0092</t>
        </is>
      </c>
      <c r="B93" s="2" t="inlineStr">
        <is>
          <t>공시형</t>
        </is>
      </c>
      <c r="C93" s="2" t="inlineStr">
        <is>
          <t>예금</t>
        </is>
      </c>
      <c r="D93" s="2" t="inlineStr">
        <is>
          <t>정기예금</t>
        </is>
      </c>
      <c r="E93" s="2" t="inlineStr">
        <is>
          <t>rate_threshold</t>
        </is>
      </c>
      <c r="F93" s="2" t="inlineStr">
        <is>
          <t>아이엠뱅크 'iM함께예금'의 12개월 만기 최고 우대금리는 연 3.75% 이상인가?</t>
        </is>
      </c>
      <c r="G93" s="2" t="inlineStr">
        <is>
          <t>boolean</t>
        </is>
      </c>
      <c r="H93" s="2" t="inlineStr">
        <is>
          <t>NO</t>
        </is>
      </c>
      <c r="I93" s="2" t="inlineStr"/>
      <c r="J93" s="2" t="inlineStr">
        <is>
          <t>금융감독원 금융상품통합비교공시 Open API (finlife.fss.or.kr), 202608</t>
        </is>
      </c>
      <c r="K93" s="2" t="inlineStr">
        <is>
          <t>아이엠뱅크:10511008001166004:intr_rate2(12개월)</t>
        </is>
      </c>
      <c r="L93" s="2" t="inlineStr">
        <is>
          <t>3.55</t>
        </is>
      </c>
    </row>
    <row r="94">
      <c r="A94" s="2" t="inlineStr">
        <is>
          <t>PRD-0093</t>
        </is>
      </c>
      <c r="B94" s="2" t="inlineStr">
        <is>
          <t>공시형</t>
        </is>
      </c>
      <c r="C94" s="2" t="inlineStr">
        <is>
          <t>예금</t>
        </is>
      </c>
      <c r="D94" s="2" t="inlineStr">
        <is>
          <t>정기예금</t>
        </is>
      </c>
      <c r="E94" s="2" t="inlineStr">
        <is>
          <t>rate_threshold</t>
        </is>
      </c>
      <c r="F94" s="2" t="inlineStr">
        <is>
          <t>연 3.35% 이상의 최고 우대금리를 아이엠뱅크 'iM스마트예금'의 12개월 만기에서 기대할 수 있는가?</t>
        </is>
      </c>
      <c r="G94" s="2" t="inlineStr">
        <is>
          <t>boolean</t>
        </is>
      </c>
      <c r="H94" s="2" t="inlineStr">
        <is>
          <t>YES</t>
        </is>
      </c>
      <c r="I94" s="2" t="inlineStr"/>
      <c r="J94" s="2" t="inlineStr">
        <is>
          <t>금융감독원 금융상품통합비교공시 Open API (finlife.fss.or.kr), 202608</t>
        </is>
      </c>
      <c r="K94" s="2" t="inlineStr">
        <is>
          <t>아이엠뱅크:10511008001278000:intr_rate2(12개월)</t>
        </is>
      </c>
      <c r="L94" s="2" t="inlineStr">
        <is>
          <t>3.55</t>
        </is>
      </c>
    </row>
    <row r="95">
      <c r="A95" s="2" t="inlineStr">
        <is>
          <t>PRD-0094</t>
        </is>
      </c>
      <c r="B95" s="2" t="inlineStr">
        <is>
          <t>공시형</t>
        </is>
      </c>
      <c r="C95" s="2" t="inlineStr">
        <is>
          <t>예금</t>
        </is>
      </c>
      <c r="D95" s="2" t="inlineStr">
        <is>
          <t>정기예금</t>
        </is>
      </c>
      <c r="E95" s="2" t="inlineStr">
        <is>
          <t>rate_threshold</t>
        </is>
      </c>
      <c r="F95" s="2" t="inlineStr">
        <is>
          <t>12개월 만기 기준, 아이엠뱅크 'iM스마트예금'의 최고 우대금리가 연 3.75% 이상인가?</t>
        </is>
      </c>
      <c r="G95" s="2" t="inlineStr">
        <is>
          <t>boolean</t>
        </is>
      </c>
      <c r="H95" s="2" t="inlineStr">
        <is>
          <t>NO</t>
        </is>
      </c>
      <c r="I95" s="2" t="inlineStr"/>
      <c r="J95" s="2" t="inlineStr">
        <is>
          <t>금융감독원 금융상품통합비교공시 Open API (finlife.fss.or.kr), 202608</t>
        </is>
      </c>
      <c r="K95" s="2" t="inlineStr">
        <is>
          <t>아이엠뱅크:10511008001278000:intr_rate2(12개월)</t>
        </is>
      </c>
      <c r="L95" s="2" t="inlineStr">
        <is>
          <t>3.55</t>
        </is>
      </c>
    </row>
    <row r="96">
      <c r="A96" s="2" t="inlineStr">
        <is>
          <t>PRD-0095</t>
        </is>
      </c>
      <c r="B96" s="2" t="inlineStr">
        <is>
          <t>공시형</t>
        </is>
      </c>
      <c r="C96" s="2" t="inlineStr">
        <is>
          <t>예금</t>
        </is>
      </c>
      <c r="D96" s="2" t="inlineStr">
        <is>
          <t>정기예금</t>
        </is>
      </c>
      <c r="E96" s="2" t="inlineStr">
        <is>
          <t>rate_threshold</t>
        </is>
      </c>
      <c r="F96" s="2" t="inlineStr">
        <is>
          <t>연 3.00% 이상의 최고 우대금리를 우리은행 'WON플러스예금'의 12개월 만기에서 기대할 수 있는가?</t>
        </is>
      </c>
      <c r="G96" s="2" t="inlineStr">
        <is>
          <t>boolean</t>
        </is>
      </c>
      <c r="H96" s="2" t="inlineStr">
        <is>
          <t>YES</t>
        </is>
      </c>
      <c r="I96" s="2" t="inlineStr"/>
      <c r="J96" s="2" t="inlineStr">
        <is>
          <t>금융감독원 금융상품통합비교공시 Open API (finlife.fss.or.kr), 202608</t>
        </is>
      </c>
      <c r="K96" s="2" t="inlineStr">
        <is>
          <t>우리은행:WR0001B:intr_rate2(12개월)</t>
        </is>
      </c>
      <c r="L96" s="2" t="inlineStr">
        <is>
          <t>3.2</t>
        </is>
      </c>
    </row>
    <row r="97">
      <c r="A97" s="2" t="inlineStr">
        <is>
          <t>PRD-0096</t>
        </is>
      </c>
      <c r="B97" s="2" t="inlineStr">
        <is>
          <t>공시형</t>
        </is>
      </c>
      <c r="C97" s="2" t="inlineStr">
        <is>
          <t>예금</t>
        </is>
      </c>
      <c r="D97" s="2" t="inlineStr">
        <is>
          <t>정기예금</t>
        </is>
      </c>
      <c r="E97" s="2" t="inlineStr">
        <is>
          <t>rate_threshold</t>
        </is>
      </c>
      <c r="F97" s="2" t="inlineStr">
        <is>
          <t>12개월 만기 기준, 우리은행 'WON플러스예금'의 최고 우대금리가 연 3.40% 이상인가?</t>
        </is>
      </c>
      <c r="G97" s="2" t="inlineStr">
        <is>
          <t>boolean</t>
        </is>
      </c>
      <c r="H97" s="2" t="inlineStr">
        <is>
          <t>NO</t>
        </is>
      </c>
      <c r="I97" s="2" t="inlineStr"/>
      <c r="J97" s="2" t="inlineStr">
        <is>
          <t>금융감독원 금융상품통합비교공시 Open API (finlife.fss.or.kr), 202608</t>
        </is>
      </c>
      <c r="K97" s="2" t="inlineStr">
        <is>
          <t>우리은행:WR0001B:intr_rate2(12개월)</t>
        </is>
      </c>
      <c r="L97" s="2" t="inlineStr">
        <is>
          <t>3.2</t>
        </is>
      </c>
    </row>
    <row r="98">
      <c r="A98" s="2" t="inlineStr">
        <is>
          <t>PRD-0097</t>
        </is>
      </c>
      <c r="B98" s="2" t="inlineStr">
        <is>
          <t>공시형</t>
        </is>
      </c>
      <c r="C98" s="2" t="inlineStr">
        <is>
          <t>예금</t>
        </is>
      </c>
      <c r="D98" s="2" t="inlineStr">
        <is>
          <t>정기예금</t>
        </is>
      </c>
      <c r="E98" s="2" t="inlineStr">
        <is>
          <t>rate_threshold</t>
        </is>
      </c>
      <c r="F98" s="2" t="inlineStr">
        <is>
          <t>12개월 만기 기준, 전북은행 'JB 다이렉트예금통장 (만기일시지급식)'의 최고 우대금리가 연 3.56% 이상인가?</t>
        </is>
      </c>
      <c r="G98" s="2" t="inlineStr">
        <is>
          <t>boolean</t>
        </is>
      </c>
      <c r="H98" s="2" t="inlineStr">
        <is>
          <t>YES</t>
        </is>
      </c>
      <c r="I98" s="2" t="inlineStr"/>
      <c r="J98" s="2" t="inlineStr">
        <is>
          <t>금융감독원 금융상품통합비교공시 Open API (finlife.fss.or.kr), 202608</t>
        </is>
      </c>
      <c r="K98" s="2" t="inlineStr">
        <is>
          <t>전북은행:10-01-20-024-0046-0000:intr_rate2(12개월)</t>
        </is>
      </c>
      <c r="L98" s="2" t="inlineStr">
        <is>
          <t>3.76</t>
        </is>
      </c>
    </row>
    <row r="99">
      <c r="A99" s="2" t="inlineStr">
        <is>
          <t>PRD-0098</t>
        </is>
      </c>
      <c r="B99" s="2" t="inlineStr">
        <is>
          <t>공시형</t>
        </is>
      </c>
      <c r="C99" s="2" t="inlineStr">
        <is>
          <t>예금</t>
        </is>
      </c>
      <c r="D99" s="2" t="inlineStr">
        <is>
          <t>정기예금</t>
        </is>
      </c>
      <c r="E99" s="2" t="inlineStr">
        <is>
          <t>rate_threshold</t>
        </is>
      </c>
      <c r="F99" s="2" t="inlineStr">
        <is>
          <t>전북은행 'JB 다이렉트예금통장 (만기일시지급식)'의 12개월 만기 최고 우대금리는 연 3.96% 이상인가?</t>
        </is>
      </c>
      <c r="G99" s="2" t="inlineStr">
        <is>
          <t>boolean</t>
        </is>
      </c>
      <c r="H99" s="2" t="inlineStr">
        <is>
          <t>NO</t>
        </is>
      </c>
      <c r="I99" s="2" t="inlineStr"/>
      <c r="J99" s="2" t="inlineStr">
        <is>
          <t>금융감독원 금융상품통합비교공시 Open API (finlife.fss.or.kr), 202608</t>
        </is>
      </c>
      <c r="K99" s="2" t="inlineStr">
        <is>
          <t>전북은행:10-01-20-024-0046-0000:intr_rate2(12개월)</t>
        </is>
      </c>
      <c r="L99" s="2" t="inlineStr">
        <is>
          <t>3.76</t>
        </is>
      </c>
    </row>
    <row r="100">
      <c r="A100" s="2" t="inlineStr">
        <is>
          <t>PRD-0099</t>
        </is>
      </c>
      <c r="B100" s="2" t="inlineStr">
        <is>
          <t>공시형</t>
        </is>
      </c>
      <c r="C100" s="2" t="inlineStr">
        <is>
          <t>예금</t>
        </is>
      </c>
      <c r="D100" s="2" t="inlineStr">
        <is>
          <t>정기예금</t>
        </is>
      </c>
      <c r="E100" s="2" t="inlineStr">
        <is>
          <t>rate_threshold</t>
        </is>
      </c>
      <c r="F100" s="2" t="inlineStr">
        <is>
          <t>전북은행 'JB 123 정기예금 (만기일시지급식)'의 12개월 만기 최고 우대금리는 연 3.61% 이상인가?</t>
        </is>
      </c>
      <c r="G100" s="2" t="inlineStr">
        <is>
          <t>boolean</t>
        </is>
      </c>
      <c r="H100" s="2" t="inlineStr">
        <is>
          <t>YES</t>
        </is>
      </c>
      <c r="I100" s="2" t="inlineStr"/>
      <c r="J100" s="2" t="inlineStr">
        <is>
          <t>금융감독원 금융상품통합비교공시 Open API (finlife.fss.or.kr), 202608</t>
        </is>
      </c>
      <c r="K100" s="2" t="inlineStr">
        <is>
          <t>전북은행:10-01-20-024-0059-0000:intr_rate2(12개월)</t>
        </is>
      </c>
      <c r="L100" s="2" t="inlineStr">
        <is>
          <t>3.81</t>
        </is>
      </c>
    </row>
    <row r="101">
      <c r="A101" s="2" t="inlineStr">
        <is>
          <t>PRD-0100</t>
        </is>
      </c>
      <c r="B101" s="2" t="inlineStr">
        <is>
          <t>공시형</t>
        </is>
      </c>
      <c r="C101" s="2" t="inlineStr">
        <is>
          <t>예금</t>
        </is>
      </c>
      <c r="D101" s="2" t="inlineStr">
        <is>
          <t>정기예금</t>
        </is>
      </c>
      <c r="E101" s="2" t="inlineStr">
        <is>
          <t>rate_threshold</t>
        </is>
      </c>
      <c r="F101" s="2" t="inlineStr">
        <is>
          <t>연 4.01% 이상의 최고 우대금리를 전북은행 'JB 123 정기예금 (만기일시지급식)'의 12개월 만기에서 기대할 수 있는가?</t>
        </is>
      </c>
      <c r="G101" s="2" t="inlineStr">
        <is>
          <t>boolean</t>
        </is>
      </c>
      <c r="H101" s="2" t="inlineStr">
        <is>
          <t>NO</t>
        </is>
      </c>
      <c r="I101" s="2" t="inlineStr"/>
      <c r="J101" s="2" t="inlineStr">
        <is>
          <t>금융감독원 금융상품통합비교공시 Open API (finlife.fss.or.kr), 202608</t>
        </is>
      </c>
      <c r="K101" s="2" t="inlineStr">
        <is>
          <t>전북은행:10-01-20-024-0059-0000:intr_rate2(12개월)</t>
        </is>
      </c>
      <c r="L101" s="2" t="inlineStr">
        <is>
          <t>3.81</t>
        </is>
      </c>
    </row>
    <row r="102">
      <c r="A102" s="2" t="inlineStr">
        <is>
          <t>PRD-0101</t>
        </is>
      </c>
      <c r="B102" s="2" t="inlineStr">
        <is>
          <t>공시형</t>
        </is>
      </c>
      <c r="C102" s="2" t="inlineStr">
        <is>
          <t>예금</t>
        </is>
      </c>
      <c r="D102" s="2" t="inlineStr">
        <is>
          <t>정기예금</t>
        </is>
      </c>
      <c r="E102" s="2" t="inlineStr">
        <is>
          <t>rate_threshold</t>
        </is>
      </c>
      <c r="F102" s="2" t="inlineStr">
        <is>
          <t>전북은행 '내맘 쏙 정기예금'의 12개월 만기 최고 우대금리는 연 2.80% 이상인가?</t>
        </is>
      </c>
      <c r="G102" s="2" t="inlineStr">
        <is>
          <t>boolean</t>
        </is>
      </c>
      <c r="H102" s="2" t="inlineStr">
        <is>
          <t>YES</t>
        </is>
      </c>
      <c r="I102" s="2" t="inlineStr"/>
      <c r="J102" s="2" t="inlineStr">
        <is>
          <t>금융감독원 금융상품통합비교공시 Open API (finlife.fss.or.kr), 202608</t>
        </is>
      </c>
      <c r="K102" s="2" t="inlineStr">
        <is>
          <t>전북은행:10-01-20-024-0063-0000:intr_rate2(12개월)</t>
        </is>
      </c>
      <c r="L102" s="2" t="inlineStr">
        <is>
          <t>3</t>
        </is>
      </c>
    </row>
    <row r="103">
      <c r="A103" s="2" t="inlineStr">
        <is>
          <t>PRD-0102</t>
        </is>
      </c>
      <c r="B103" s="2" t="inlineStr">
        <is>
          <t>공시형</t>
        </is>
      </c>
      <c r="C103" s="2" t="inlineStr">
        <is>
          <t>예금</t>
        </is>
      </c>
      <c r="D103" s="2" t="inlineStr">
        <is>
          <t>정기예금</t>
        </is>
      </c>
      <c r="E103" s="2" t="inlineStr">
        <is>
          <t>rate_threshold</t>
        </is>
      </c>
      <c r="F103" s="2" t="inlineStr">
        <is>
          <t>전북은행 '내맘 쏙 정기예금'(12개월 만기)의 최고 우대금리는 연 3.20%보다 높거나 같은가?</t>
        </is>
      </c>
      <c r="G103" s="2" t="inlineStr">
        <is>
          <t>boolean</t>
        </is>
      </c>
      <c r="H103" s="2" t="inlineStr">
        <is>
          <t>NO</t>
        </is>
      </c>
      <c r="I103" s="2" t="inlineStr"/>
      <c r="J103" s="2" t="inlineStr">
        <is>
          <t>금융감독원 금융상품통합비교공시 Open API (finlife.fss.or.kr), 202608</t>
        </is>
      </c>
      <c r="K103" s="2" t="inlineStr">
        <is>
          <t>전북은행:10-01-20-024-0063-0000:intr_rate2(12개월)</t>
        </is>
      </c>
      <c r="L103" s="2" t="inlineStr">
        <is>
          <t>3</t>
        </is>
      </c>
    </row>
    <row r="104">
      <c r="A104" s="2" t="inlineStr">
        <is>
          <t>PRD-0103</t>
        </is>
      </c>
      <c r="B104" s="2" t="inlineStr">
        <is>
          <t>공시형</t>
        </is>
      </c>
      <c r="C104" s="2" t="inlineStr">
        <is>
          <t>예금</t>
        </is>
      </c>
      <c r="D104" s="2" t="inlineStr">
        <is>
          <t>정기예금</t>
        </is>
      </c>
      <c r="E104" s="2" t="inlineStr">
        <is>
          <t>rate_threshold</t>
        </is>
      </c>
      <c r="F104" s="2" t="inlineStr">
        <is>
          <t>12개월 만기 기준, 제주은행 '제주Dream 정기예금 (개인/만기 지급식)'의 최고 우대금리가 연 2.20% 이상인가?</t>
        </is>
      </c>
      <c r="G104" s="2" t="inlineStr">
        <is>
          <t>boolean</t>
        </is>
      </c>
      <c r="H104" s="2" t="inlineStr">
        <is>
          <t>YES</t>
        </is>
      </c>
      <c r="I104" s="2" t="inlineStr"/>
      <c r="J104" s="2" t="inlineStr">
        <is>
          <t>금융감독원 금융상품통합비교공시 Open API (finlife.fss.or.kr), 202608</t>
        </is>
      </c>
      <c r="K104" s="2" t="inlineStr">
        <is>
          <t>제주은행:101272000006:intr_rate2(12개월)</t>
        </is>
      </c>
      <c r="L104" s="2" t="inlineStr">
        <is>
          <t>2.4</t>
        </is>
      </c>
    </row>
    <row r="105">
      <c r="A105" s="2" t="inlineStr">
        <is>
          <t>PRD-0104</t>
        </is>
      </c>
      <c r="B105" s="2" t="inlineStr">
        <is>
          <t>공시형</t>
        </is>
      </c>
      <c r="C105" s="2" t="inlineStr">
        <is>
          <t>예금</t>
        </is>
      </c>
      <c r="D105" s="2" t="inlineStr">
        <is>
          <t>정기예금</t>
        </is>
      </c>
      <c r="E105" s="2" t="inlineStr">
        <is>
          <t>rate_threshold</t>
        </is>
      </c>
      <c r="F105" s="2" t="inlineStr">
        <is>
          <t>제주은행 '제주Dream 정기예금 (개인/만기 지급식)'(12개월 만기)의 최고 우대금리는 연 2.60%보다 높거나 같은가?</t>
        </is>
      </c>
      <c r="G105" s="2" t="inlineStr">
        <is>
          <t>boolean</t>
        </is>
      </c>
      <c r="H105" s="2" t="inlineStr">
        <is>
          <t>NO</t>
        </is>
      </c>
      <c r="I105" s="2" t="inlineStr"/>
      <c r="J105" s="2" t="inlineStr">
        <is>
          <t>금융감독원 금융상품통합비교공시 Open API (finlife.fss.or.kr), 202608</t>
        </is>
      </c>
      <c r="K105" s="2" t="inlineStr">
        <is>
          <t>제주은행:101272000006:intr_rate2(12개월)</t>
        </is>
      </c>
      <c r="L105" s="2" t="inlineStr">
        <is>
          <t>2.4</t>
        </is>
      </c>
    </row>
    <row r="106">
      <c r="A106" s="2" t="inlineStr">
        <is>
          <t>PRD-0105</t>
        </is>
      </c>
      <c r="B106" s="2" t="inlineStr">
        <is>
          <t>공시형</t>
        </is>
      </c>
      <c r="C106" s="2" t="inlineStr">
        <is>
          <t>예금</t>
        </is>
      </c>
      <c r="D106" s="2" t="inlineStr">
        <is>
          <t>정기예금</t>
        </is>
      </c>
      <c r="E106" s="2" t="inlineStr">
        <is>
          <t>rate_threshold</t>
        </is>
      </c>
      <c r="F106" s="2" t="inlineStr">
        <is>
          <t>제주은행 'J정기예금 (만기지급식)'(12개월 만기)의 최고 우대금리는 연 3.60%보다 높거나 같은가?</t>
        </is>
      </c>
      <c r="G106" s="2" t="inlineStr">
        <is>
          <t>boolean</t>
        </is>
      </c>
      <c r="H106" s="2" t="inlineStr">
        <is>
          <t>YES</t>
        </is>
      </c>
      <c r="I106" s="2" t="inlineStr"/>
      <c r="J106" s="2" t="inlineStr">
        <is>
          <t>금융감독원 금융상품통합비교공시 Open API (finlife.fss.or.kr), 202608</t>
        </is>
      </c>
      <c r="K106" s="2" t="inlineStr">
        <is>
          <t>제주은행:101272000057:intr_rate2(12개월)</t>
        </is>
      </c>
      <c r="L106" s="2" t="inlineStr">
        <is>
          <t>3.8</t>
        </is>
      </c>
    </row>
    <row r="107">
      <c r="A107" s="2" t="inlineStr">
        <is>
          <t>PRD-0106</t>
        </is>
      </c>
      <c r="B107" s="2" t="inlineStr">
        <is>
          <t>공시형</t>
        </is>
      </c>
      <c r="C107" s="2" t="inlineStr">
        <is>
          <t>예금</t>
        </is>
      </c>
      <c r="D107" s="2" t="inlineStr">
        <is>
          <t>정기예금</t>
        </is>
      </c>
      <c r="E107" s="2" t="inlineStr">
        <is>
          <t>rate_threshold</t>
        </is>
      </c>
      <c r="F107" s="2" t="inlineStr">
        <is>
          <t>연 4.00% 이상의 최고 우대금리를 제주은행 'J정기예금 (만기지급식)'의 12개월 만기에서 기대할 수 있는가?</t>
        </is>
      </c>
      <c r="G107" s="2" t="inlineStr">
        <is>
          <t>boolean</t>
        </is>
      </c>
      <c r="H107" s="2" t="inlineStr">
        <is>
          <t>NO</t>
        </is>
      </c>
      <c r="I107" s="2" t="inlineStr"/>
      <c r="J107" s="2" t="inlineStr">
        <is>
          <t>금융감독원 금융상품통합비교공시 Open API (finlife.fss.or.kr), 202608</t>
        </is>
      </c>
      <c r="K107" s="2" t="inlineStr">
        <is>
          <t>제주은행:101272000057:intr_rate2(12개월)</t>
        </is>
      </c>
      <c r="L107" s="2" t="inlineStr">
        <is>
          <t>3.8</t>
        </is>
      </c>
    </row>
    <row r="108">
      <c r="A108" s="2" t="inlineStr">
        <is>
          <t>PRD-0107</t>
        </is>
      </c>
      <c r="B108" s="2" t="inlineStr">
        <is>
          <t>공시형</t>
        </is>
      </c>
      <c r="C108" s="2" t="inlineStr">
        <is>
          <t>예금</t>
        </is>
      </c>
      <c r="D108" s="2" t="inlineStr">
        <is>
          <t>정기예금</t>
        </is>
      </c>
      <c r="E108" s="2" t="inlineStr">
        <is>
          <t>rate_threshold</t>
        </is>
      </c>
      <c r="F108" s="2" t="inlineStr">
        <is>
          <t>연 2.65% 이상의 최고 우대금리를 제주은행 '스마일드림 정기예금 (개인/선이자 지급식)'의 12개월 만기에서 기대할 수 있는가?</t>
        </is>
      </c>
      <c r="G108" s="2" t="inlineStr">
        <is>
          <t>boolean</t>
        </is>
      </c>
      <c r="H108" s="2" t="inlineStr">
        <is>
          <t>YES</t>
        </is>
      </c>
      <c r="I108" s="2" t="inlineStr"/>
      <c r="J108" s="2" t="inlineStr">
        <is>
          <t>금융감독원 금융상품통합비교공시 Open API (finlife.fss.or.kr), 202608</t>
        </is>
      </c>
      <c r="K108" s="2" t="inlineStr">
        <is>
          <t>제주은행:101272000058:intr_rate2(12개월)</t>
        </is>
      </c>
      <c r="L108" s="2" t="inlineStr">
        <is>
          <t>2.85</t>
        </is>
      </c>
    </row>
    <row r="109">
      <c r="A109" s="2" t="inlineStr">
        <is>
          <t>PRD-0108</t>
        </is>
      </c>
      <c r="B109" s="2" t="inlineStr">
        <is>
          <t>공시형</t>
        </is>
      </c>
      <c r="C109" s="2" t="inlineStr">
        <is>
          <t>예금</t>
        </is>
      </c>
      <c r="D109" s="2" t="inlineStr">
        <is>
          <t>정기예금</t>
        </is>
      </c>
      <c r="E109" s="2" t="inlineStr">
        <is>
          <t>rate_threshold</t>
        </is>
      </c>
      <c r="F109" s="2" t="inlineStr">
        <is>
          <t>12개월 만기 기준, 제주은행 '스마일드림 정기예금 (개인/선이자 지급식)'의 최고 우대금리가 연 3.05% 이상인가?</t>
        </is>
      </c>
      <c r="G109" s="2" t="inlineStr">
        <is>
          <t>boolean</t>
        </is>
      </c>
      <c r="H109" s="2" t="inlineStr">
        <is>
          <t>NO</t>
        </is>
      </c>
      <c r="I109" s="2" t="inlineStr"/>
      <c r="J109" s="2" t="inlineStr">
        <is>
          <t>금융감독원 금융상품통합비교공시 Open API (finlife.fss.or.kr), 202608</t>
        </is>
      </c>
      <c r="K109" s="2" t="inlineStr">
        <is>
          <t>제주은행:101272000058:intr_rate2(12개월)</t>
        </is>
      </c>
      <c r="L109" s="2" t="inlineStr">
        <is>
          <t>2.85</t>
        </is>
      </c>
    </row>
    <row r="110">
      <c r="A110" s="2" t="inlineStr">
        <is>
          <t>PRD-0109</t>
        </is>
      </c>
      <c r="B110" s="2" t="inlineStr">
        <is>
          <t>공시형</t>
        </is>
      </c>
      <c r="C110" s="2" t="inlineStr">
        <is>
          <t>예금</t>
        </is>
      </c>
      <c r="D110" s="2" t="inlineStr">
        <is>
          <t>정기예금</t>
        </is>
      </c>
      <c r="E110" s="2" t="inlineStr">
        <is>
          <t>rate_threshold</t>
        </is>
      </c>
      <c r="F110" s="2" t="inlineStr">
        <is>
          <t>연 3.40% 이상의 최고 우대금리를 주식회사 카카오뱅크 '카카오뱅크 정기예금'의 12개월 만기에서 기대할 수 있는가?</t>
        </is>
      </c>
      <c r="G110" s="2" t="inlineStr">
        <is>
          <t>boolean</t>
        </is>
      </c>
      <c r="H110" s="2" t="inlineStr">
        <is>
          <t>YES</t>
        </is>
      </c>
      <c r="I110" s="2" t="inlineStr"/>
      <c r="J110" s="2" t="inlineStr">
        <is>
          <t>금융감독원 금융상품통합비교공시 Open API (finlife.fss.or.kr), 202608</t>
        </is>
      </c>
      <c r="K110" s="2" t="inlineStr">
        <is>
          <t>주식회사 카카오뱅크:10-01-20-388-0002:intr_rate2(12개월)</t>
        </is>
      </c>
      <c r="L110" s="2" t="inlineStr">
        <is>
          <t>3.6</t>
        </is>
      </c>
    </row>
    <row r="111">
      <c r="A111" s="2" t="inlineStr">
        <is>
          <t>PRD-0110</t>
        </is>
      </c>
      <c r="B111" s="2" t="inlineStr">
        <is>
          <t>공시형</t>
        </is>
      </c>
      <c r="C111" s="2" t="inlineStr">
        <is>
          <t>예금</t>
        </is>
      </c>
      <c r="D111" s="2" t="inlineStr">
        <is>
          <t>정기예금</t>
        </is>
      </c>
      <c r="E111" s="2" t="inlineStr">
        <is>
          <t>rate_threshold</t>
        </is>
      </c>
      <c r="F111" s="2" t="inlineStr">
        <is>
          <t>12개월 만기 기준, 주식회사 카카오뱅크 '카카오뱅크 정기예금'의 최고 우대금리가 연 3.80% 이상인가?</t>
        </is>
      </c>
      <c r="G111" s="2" t="inlineStr">
        <is>
          <t>boolean</t>
        </is>
      </c>
      <c r="H111" s="2" t="inlineStr">
        <is>
          <t>NO</t>
        </is>
      </c>
      <c r="I111" s="2" t="inlineStr"/>
      <c r="J111" s="2" t="inlineStr">
        <is>
          <t>금융감독원 금융상품통합비교공시 Open API (finlife.fss.or.kr), 202608</t>
        </is>
      </c>
      <c r="K111" s="2" t="inlineStr">
        <is>
          <t>주식회사 카카오뱅크:10-01-20-388-0002:intr_rate2(12개월)</t>
        </is>
      </c>
      <c r="L111" s="2" t="inlineStr">
        <is>
          <t>3.6</t>
        </is>
      </c>
    </row>
    <row r="112">
      <c r="A112" s="2" t="inlineStr">
        <is>
          <t>PRD-0111</t>
        </is>
      </c>
      <c r="B112" s="2" t="inlineStr">
        <is>
          <t>공시형</t>
        </is>
      </c>
      <c r="C112" s="2" t="inlineStr">
        <is>
          <t>예금</t>
        </is>
      </c>
      <c r="D112" s="2" t="inlineStr">
        <is>
          <t>정기예금</t>
        </is>
      </c>
      <c r="E112" s="2" t="inlineStr">
        <is>
          <t>rate_threshold</t>
        </is>
      </c>
      <c r="F112" s="2" t="inlineStr">
        <is>
          <t>연 3.51% 이상의 최고 우대금리를 주식회사 케이뱅크 '코드K 정기예금'의 12개월 만기에서 기대할 수 있는가?</t>
        </is>
      </c>
      <c r="G112" s="2" t="inlineStr">
        <is>
          <t>boolean</t>
        </is>
      </c>
      <c r="H112" s="2" t="inlineStr">
        <is>
          <t>YES</t>
        </is>
      </c>
      <c r="I112" s="2" t="inlineStr"/>
      <c r="J112" s="2" t="inlineStr">
        <is>
          <t>금융감독원 금융상품통합비교공시 Open API (finlife.fss.or.kr), 202608</t>
        </is>
      </c>
      <c r="K112" s="2" t="inlineStr">
        <is>
          <t>주식회사 케이뱅크:01013000110000000001:intr_rate2(12개월)</t>
        </is>
      </c>
      <c r="L112" s="2" t="inlineStr">
        <is>
          <t>3.71</t>
        </is>
      </c>
    </row>
    <row r="113">
      <c r="A113" s="2" t="inlineStr">
        <is>
          <t>PRD-0112</t>
        </is>
      </c>
      <c r="B113" s="2" t="inlineStr">
        <is>
          <t>공시형</t>
        </is>
      </c>
      <c r="C113" s="2" t="inlineStr">
        <is>
          <t>예금</t>
        </is>
      </c>
      <c r="D113" s="2" t="inlineStr">
        <is>
          <t>정기예금</t>
        </is>
      </c>
      <c r="E113" s="2" t="inlineStr">
        <is>
          <t>rate_threshold</t>
        </is>
      </c>
      <c r="F113" s="2" t="inlineStr">
        <is>
          <t>주식회사 케이뱅크 '코드K 정기예금'의 12개월 만기 최고 우대금리는 연 3.91% 이상인가?</t>
        </is>
      </c>
      <c r="G113" s="2" t="inlineStr">
        <is>
          <t>boolean</t>
        </is>
      </c>
      <c r="H113" s="2" t="inlineStr">
        <is>
          <t>NO</t>
        </is>
      </c>
      <c r="I113" s="2" t="inlineStr"/>
      <c r="J113" s="2" t="inlineStr">
        <is>
          <t>금융감독원 금융상품통합비교공시 Open API (finlife.fss.or.kr), 202608</t>
        </is>
      </c>
      <c r="K113" s="2" t="inlineStr">
        <is>
          <t>주식회사 케이뱅크:01013000110000000001:intr_rate2(12개월)</t>
        </is>
      </c>
      <c r="L113" s="2" t="inlineStr">
        <is>
          <t>3.71</t>
        </is>
      </c>
    </row>
    <row r="114">
      <c r="A114" s="2" t="inlineStr">
        <is>
          <t>PRD-0113</t>
        </is>
      </c>
      <c r="B114" s="2" t="inlineStr">
        <is>
          <t>공시형</t>
        </is>
      </c>
      <c r="C114" s="2" t="inlineStr">
        <is>
          <t>예금</t>
        </is>
      </c>
      <c r="D114" s="2" t="inlineStr">
        <is>
          <t>정기예금</t>
        </is>
      </c>
      <c r="E114" s="2" t="inlineStr">
        <is>
          <t>rate_threshold</t>
        </is>
      </c>
      <c r="F114" s="2" t="inlineStr">
        <is>
          <t>주식회사 하나은행 '하나의정기예금'의 12개월 만기 최고 우대금리는 연 3.00% 이상인가?</t>
        </is>
      </c>
      <c r="G114" s="2" t="inlineStr">
        <is>
          <t>boolean</t>
        </is>
      </c>
      <c r="H114" s="2" t="inlineStr">
        <is>
          <t>YES</t>
        </is>
      </c>
      <c r="I114" s="2" t="inlineStr"/>
      <c r="J114" s="2" t="inlineStr">
        <is>
          <t>금융감독원 금융상품통합비교공시 Open API (finlife.fss.or.kr), 202608</t>
        </is>
      </c>
      <c r="K114" s="2" t="inlineStr">
        <is>
          <t>주식회사 하나은행:4:intr_rate2(12개월)</t>
        </is>
      </c>
      <c r="L114" s="2" t="inlineStr">
        <is>
          <t>3.2</t>
        </is>
      </c>
    </row>
    <row r="115">
      <c r="A115" s="2" t="inlineStr">
        <is>
          <t>PRD-0114</t>
        </is>
      </c>
      <c r="B115" s="2" t="inlineStr">
        <is>
          <t>공시형</t>
        </is>
      </c>
      <c r="C115" s="2" t="inlineStr">
        <is>
          <t>예금</t>
        </is>
      </c>
      <c r="D115" s="2" t="inlineStr">
        <is>
          <t>정기예금</t>
        </is>
      </c>
      <c r="E115" s="2" t="inlineStr">
        <is>
          <t>rate_threshold</t>
        </is>
      </c>
      <c r="F115" s="2" t="inlineStr">
        <is>
          <t>연 3.40% 이상의 최고 우대금리를 주식회사 하나은행 '하나의정기예금'의 12개월 만기에서 기대할 수 있는가?</t>
        </is>
      </c>
      <c r="G115" s="2" t="inlineStr">
        <is>
          <t>boolean</t>
        </is>
      </c>
      <c r="H115" s="2" t="inlineStr">
        <is>
          <t>NO</t>
        </is>
      </c>
      <c r="I115" s="2" t="inlineStr"/>
      <c r="J115" s="2" t="inlineStr">
        <is>
          <t>금융감독원 금융상품통합비교공시 Open API (finlife.fss.or.kr), 202608</t>
        </is>
      </c>
      <c r="K115" s="2" t="inlineStr">
        <is>
          <t>주식회사 하나은행:4:intr_rate2(12개월)</t>
        </is>
      </c>
      <c r="L115" s="2" t="inlineStr">
        <is>
          <t>3.2</t>
        </is>
      </c>
    </row>
    <row r="116">
      <c r="A116" s="2" t="inlineStr">
        <is>
          <t>PRD-0115</t>
        </is>
      </c>
      <c r="B116" s="2" t="inlineStr">
        <is>
          <t>공시형</t>
        </is>
      </c>
      <c r="C116" s="2" t="inlineStr">
        <is>
          <t>예금</t>
        </is>
      </c>
      <c r="D116" s="2" t="inlineStr">
        <is>
          <t>정기예금</t>
        </is>
      </c>
      <c r="E116" s="2" t="inlineStr">
        <is>
          <t>rate_threshold</t>
        </is>
      </c>
      <c r="F116" s="2" t="inlineStr">
        <is>
          <t>중소기업은행 'IBK평생한가족통장(실세금리정기예금)'(12개월 만기)의 최고 우대금리는 연 2.25%보다 높거나 같은가?</t>
        </is>
      </c>
      <c r="G116" s="2" t="inlineStr">
        <is>
          <t>boolean</t>
        </is>
      </c>
      <c r="H116" s="2" t="inlineStr">
        <is>
          <t>YES</t>
        </is>
      </c>
      <c r="I116" s="2" t="inlineStr"/>
      <c r="J116" s="2" t="inlineStr">
        <is>
          <t>금융감독원 금융상품통합비교공시 Open API (finlife.fss.or.kr), 202608</t>
        </is>
      </c>
      <c r="K116" s="2" t="inlineStr">
        <is>
          <t>중소기업은행:01211310121:intr_rate2(12개월)</t>
        </is>
      </c>
      <c r="L116" s="2" t="inlineStr">
        <is>
          <t>2.45</t>
        </is>
      </c>
    </row>
    <row r="117">
      <c r="A117" s="2" t="inlineStr">
        <is>
          <t>PRD-0116</t>
        </is>
      </c>
      <c r="B117" s="2" t="inlineStr">
        <is>
          <t>공시형</t>
        </is>
      </c>
      <c r="C117" s="2" t="inlineStr">
        <is>
          <t>예금</t>
        </is>
      </c>
      <c r="D117" s="2" t="inlineStr">
        <is>
          <t>정기예금</t>
        </is>
      </c>
      <c r="E117" s="2" t="inlineStr">
        <is>
          <t>rate_threshold</t>
        </is>
      </c>
      <c r="F117" s="2" t="inlineStr">
        <is>
          <t>중소기업은행 'IBK평생한가족통장(실세금리정기예금)'의 12개월 만기 최고 우대금리는 연 2.65% 이상인가?</t>
        </is>
      </c>
      <c r="G117" s="2" t="inlineStr">
        <is>
          <t>boolean</t>
        </is>
      </c>
      <c r="H117" s="2" t="inlineStr">
        <is>
          <t>NO</t>
        </is>
      </c>
      <c r="I117" s="2" t="inlineStr"/>
      <c r="J117" s="2" t="inlineStr">
        <is>
          <t>금융감독원 금융상품통합비교공시 Open API (finlife.fss.or.kr), 202608</t>
        </is>
      </c>
      <c r="K117" s="2" t="inlineStr">
        <is>
          <t>중소기업은행:01211310121:intr_rate2(12개월)</t>
        </is>
      </c>
      <c r="L117" s="2" t="inlineStr">
        <is>
          <t>2.45</t>
        </is>
      </c>
    </row>
    <row r="118">
      <c r="A118" s="2" t="inlineStr">
        <is>
          <t>PRD-0117</t>
        </is>
      </c>
      <c r="B118" s="2" t="inlineStr">
        <is>
          <t>공시형</t>
        </is>
      </c>
      <c r="C118" s="2" t="inlineStr">
        <is>
          <t>예금</t>
        </is>
      </c>
      <c r="D118" s="2" t="inlineStr">
        <is>
          <t>정기예금</t>
        </is>
      </c>
      <c r="E118" s="2" t="inlineStr">
        <is>
          <t>rate_threshold</t>
        </is>
      </c>
      <c r="F118" s="2" t="inlineStr">
        <is>
          <t>연 2.94% 이상의 최고 우대금리를 중소기업은행 'IBK더굴리기통장(실세금리정기예금)'의 12개월 만기에서 기대할 수 있는가?</t>
        </is>
      </c>
      <c r="G118" s="2" t="inlineStr">
        <is>
          <t>boolean</t>
        </is>
      </c>
      <c r="H118" s="2" t="inlineStr">
        <is>
          <t>YES</t>
        </is>
      </c>
      <c r="I118" s="2" t="inlineStr"/>
      <c r="J118" s="2" t="inlineStr">
        <is>
          <t>금융감독원 금융상품통합비교공시 Open API (finlife.fss.or.kr), 202608</t>
        </is>
      </c>
      <c r="K118" s="2" t="inlineStr">
        <is>
          <t>중소기업은행:01211310130:intr_rate2(12개월)</t>
        </is>
      </c>
      <c r="L118" s="2" t="inlineStr">
        <is>
          <t>3.14</t>
        </is>
      </c>
    </row>
    <row r="119">
      <c r="A119" s="2" t="inlineStr">
        <is>
          <t>PRD-0118</t>
        </is>
      </c>
      <c r="B119" s="2" t="inlineStr">
        <is>
          <t>공시형</t>
        </is>
      </c>
      <c r="C119" s="2" t="inlineStr">
        <is>
          <t>예금</t>
        </is>
      </c>
      <c r="D119" s="2" t="inlineStr">
        <is>
          <t>정기예금</t>
        </is>
      </c>
      <c r="E119" s="2" t="inlineStr">
        <is>
          <t>rate_threshold</t>
        </is>
      </c>
      <c r="F119" s="2" t="inlineStr">
        <is>
          <t>12개월 만기 기준, 중소기업은행 'IBK더굴리기통장(실세금리정기예금)'의 최고 우대금리가 연 3.34% 이상인가?</t>
        </is>
      </c>
      <c r="G119" s="2" t="inlineStr">
        <is>
          <t>boolean</t>
        </is>
      </c>
      <c r="H119" s="2" t="inlineStr">
        <is>
          <t>NO</t>
        </is>
      </c>
      <c r="I119" s="2" t="inlineStr"/>
      <c r="J119" s="2" t="inlineStr">
        <is>
          <t>금융감독원 금융상품통합비교공시 Open API (finlife.fss.or.kr), 202608</t>
        </is>
      </c>
      <c r="K119" s="2" t="inlineStr">
        <is>
          <t>중소기업은행:01211310130:intr_rate2(12개월)</t>
        </is>
      </c>
      <c r="L119" s="2" t="inlineStr">
        <is>
          <t>3.14</t>
        </is>
      </c>
    </row>
    <row r="120">
      <c r="A120" s="2" t="inlineStr">
        <is>
          <t>PRD-0119</t>
        </is>
      </c>
      <c r="B120" s="2" t="inlineStr">
        <is>
          <t>공시형</t>
        </is>
      </c>
      <c r="C120" s="2" t="inlineStr">
        <is>
          <t>예금</t>
        </is>
      </c>
      <c r="D120" s="2" t="inlineStr">
        <is>
          <t>정기예금</t>
        </is>
      </c>
      <c r="E120" s="2" t="inlineStr">
        <is>
          <t>rate_threshold</t>
        </is>
      </c>
      <c r="F120" s="2" t="inlineStr">
        <is>
          <t>연 3.09% 이상의 최고 우대금리를 중소기업은행 'IBK굴리기통장(정기예금)'의 12개월 만기에서 기대할 수 있는가?</t>
        </is>
      </c>
      <c r="G120" s="2" t="inlineStr">
        <is>
          <t>boolean</t>
        </is>
      </c>
      <c r="H120" s="2" t="inlineStr">
        <is>
          <t>YES</t>
        </is>
      </c>
      <c r="I120" s="2" t="inlineStr"/>
      <c r="J120" s="2" t="inlineStr">
        <is>
          <t>금융감독원 금융상품통합비교공시 Open API (finlife.fss.or.kr), 202608</t>
        </is>
      </c>
      <c r="K120" s="2" t="inlineStr">
        <is>
          <t>중소기업은행:01211310142:intr_rate2(12개월)</t>
        </is>
      </c>
      <c r="L120" s="2" t="inlineStr">
        <is>
          <t>3.29</t>
        </is>
      </c>
    </row>
    <row r="121">
      <c r="A121" s="2" t="inlineStr">
        <is>
          <t>PRD-0120</t>
        </is>
      </c>
      <c r="B121" s="2" t="inlineStr">
        <is>
          <t>공시형</t>
        </is>
      </c>
      <c r="C121" s="2" t="inlineStr">
        <is>
          <t>예금</t>
        </is>
      </c>
      <c r="D121" s="2" t="inlineStr">
        <is>
          <t>정기예금</t>
        </is>
      </c>
      <c r="E121" s="2" t="inlineStr">
        <is>
          <t>rate_threshold</t>
        </is>
      </c>
      <c r="F121" s="2" t="inlineStr">
        <is>
          <t>중소기업은행 'IBK굴리기통장(정기예금)'(12개월 만기)의 최고 우대금리는 연 3.49%보다 높거나 같은가?</t>
        </is>
      </c>
      <c r="G121" s="2" t="inlineStr">
        <is>
          <t>boolean</t>
        </is>
      </c>
      <c r="H121" s="2" t="inlineStr">
        <is>
          <t>NO</t>
        </is>
      </c>
      <c r="I121" s="2" t="inlineStr"/>
      <c r="J121" s="2" t="inlineStr">
        <is>
          <t>금융감독원 금융상품통합비교공시 Open API (finlife.fss.or.kr), 202608</t>
        </is>
      </c>
      <c r="K121" s="2" t="inlineStr">
        <is>
          <t>중소기업은행:01211310142:intr_rate2(12개월)</t>
        </is>
      </c>
      <c r="L121" s="2" t="inlineStr">
        <is>
          <t>3.29</t>
        </is>
      </c>
    </row>
    <row r="122">
      <c r="A122" s="2" t="inlineStr">
        <is>
          <t>PRD-0121</t>
        </is>
      </c>
      <c r="B122" s="2" t="inlineStr">
        <is>
          <t>공시형</t>
        </is>
      </c>
      <c r="C122" s="2" t="inlineStr">
        <is>
          <t>예금</t>
        </is>
      </c>
      <c r="D122" s="2" t="inlineStr">
        <is>
          <t>정기예금</t>
        </is>
      </c>
      <c r="E122" s="2" t="inlineStr">
        <is>
          <t>rate_threshold</t>
        </is>
      </c>
      <c r="F122" s="2" t="inlineStr">
        <is>
          <t>토스뱅크 주식회사 '토스뱅크 먼저 이자 받는 정기예금'(12개월 만기)의 최고 우대금리는 연 3.40%보다 높거나 같은가?</t>
        </is>
      </c>
      <c r="G122" s="2" t="inlineStr">
        <is>
          <t>boolean</t>
        </is>
      </c>
      <c r="H122" s="2" t="inlineStr">
        <is>
          <t>YES</t>
        </is>
      </c>
      <c r="I122" s="2" t="inlineStr"/>
      <c r="J122" s="2" t="inlineStr">
        <is>
          <t>금융감독원 금융상품통합비교공시 Open API (finlife.fss.or.kr), 202608</t>
        </is>
      </c>
      <c r="K122" s="2" t="inlineStr">
        <is>
          <t>토스뱅크 주식회사:1001202000002:intr_rate2(12개월)</t>
        </is>
      </c>
      <c r="L122" s="2" t="inlineStr">
        <is>
          <t>3.6</t>
        </is>
      </c>
    </row>
    <row r="123">
      <c r="A123" s="2" t="inlineStr">
        <is>
          <t>PRD-0122</t>
        </is>
      </c>
      <c r="B123" s="2" t="inlineStr">
        <is>
          <t>공시형</t>
        </is>
      </c>
      <c r="C123" s="2" t="inlineStr">
        <is>
          <t>예금</t>
        </is>
      </c>
      <c r="D123" s="2" t="inlineStr">
        <is>
          <t>정기예금</t>
        </is>
      </c>
      <c r="E123" s="2" t="inlineStr">
        <is>
          <t>rate_threshold</t>
        </is>
      </c>
      <c r="F123" s="2" t="inlineStr">
        <is>
          <t>연 3.80% 이상의 최고 우대금리를 토스뱅크 주식회사 '토스뱅크 먼저 이자 받는 정기예금'의 12개월 만기에서 기대할 수 있는가?</t>
        </is>
      </c>
      <c r="G123" s="2" t="inlineStr">
        <is>
          <t>boolean</t>
        </is>
      </c>
      <c r="H123" s="2" t="inlineStr">
        <is>
          <t>NO</t>
        </is>
      </c>
      <c r="I123" s="2" t="inlineStr"/>
      <c r="J123" s="2" t="inlineStr">
        <is>
          <t>금융감독원 금융상품통합비교공시 Open API (finlife.fss.or.kr), 202608</t>
        </is>
      </c>
      <c r="K123" s="2" t="inlineStr">
        <is>
          <t>토스뱅크 주식회사:1001202000002:intr_rate2(12개월)</t>
        </is>
      </c>
      <c r="L123" s="2" t="inlineStr">
        <is>
          <t>3.6</t>
        </is>
      </c>
    </row>
    <row r="124">
      <c r="A124" s="2" t="inlineStr">
        <is>
          <t>PRD-0123</t>
        </is>
      </c>
      <c r="B124" s="2" t="inlineStr">
        <is>
          <t>공시형</t>
        </is>
      </c>
      <c r="C124" s="2" t="inlineStr">
        <is>
          <t>예금</t>
        </is>
      </c>
      <c r="D124" s="2" t="inlineStr">
        <is>
          <t>정기예금</t>
        </is>
      </c>
      <c r="E124" s="2" t="inlineStr">
        <is>
          <t>rate_threshold</t>
        </is>
      </c>
      <c r="F124" s="2" t="inlineStr">
        <is>
          <t>한국산업은행 'KDB 정기예금'(12개월 만기)의 최고 우대금리는 연 3.15%보다 높거나 같은가?</t>
        </is>
      </c>
      <c r="G124" s="2" t="inlineStr">
        <is>
          <t>boolean</t>
        </is>
      </c>
      <c r="H124" s="2" t="inlineStr">
        <is>
          <t>YES</t>
        </is>
      </c>
      <c r="I124" s="2" t="inlineStr"/>
      <c r="J124" s="2" t="inlineStr">
        <is>
          <t>금융감독원 금융상품통합비교공시 Open API (finlife.fss.or.kr), 202608</t>
        </is>
      </c>
      <c r="K124" s="2" t="inlineStr">
        <is>
          <t>한국산업은행:06492:intr_rate2(12개월)</t>
        </is>
      </c>
      <c r="L124" s="2" t="inlineStr">
        <is>
          <t>3.35</t>
        </is>
      </c>
    </row>
    <row r="125">
      <c r="A125" s="2" t="inlineStr">
        <is>
          <t>PRD-0124</t>
        </is>
      </c>
      <c r="B125" s="2" t="inlineStr">
        <is>
          <t>공시형</t>
        </is>
      </c>
      <c r="C125" s="2" t="inlineStr">
        <is>
          <t>예금</t>
        </is>
      </c>
      <c r="D125" s="2" t="inlineStr">
        <is>
          <t>정기예금</t>
        </is>
      </c>
      <c r="E125" s="2" t="inlineStr">
        <is>
          <t>rate_threshold</t>
        </is>
      </c>
      <c r="F125" s="2" t="inlineStr">
        <is>
          <t>연 3.55% 이상의 최고 우대금리를 한국산업은행 'KDB 정기예금'의 12개월 만기에서 기대할 수 있는가?</t>
        </is>
      </c>
      <c r="G125" s="2" t="inlineStr">
        <is>
          <t>boolean</t>
        </is>
      </c>
      <c r="H125" s="2" t="inlineStr">
        <is>
          <t>NO</t>
        </is>
      </c>
      <c r="I125" s="2" t="inlineStr"/>
      <c r="J125" s="2" t="inlineStr">
        <is>
          <t>금융감독원 금융상품통합비교공시 Open API (finlife.fss.or.kr), 202608</t>
        </is>
      </c>
      <c r="K125" s="2" t="inlineStr">
        <is>
          <t>한국산업은행:06492:intr_rate2(12개월)</t>
        </is>
      </c>
      <c r="L125" s="2" t="inlineStr">
        <is>
          <t>3.35</t>
        </is>
      </c>
    </row>
    <row r="126">
      <c r="A126" s="2" t="inlineStr">
        <is>
          <t>PRD-0125</t>
        </is>
      </c>
      <c r="B126" s="2" t="inlineStr">
        <is>
          <t>공시형</t>
        </is>
      </c>
      <c r="C126" s="2" t="inlineStr">
        <is>
          <t>예금</t>
        </is>
      </c>
      <c r="D126" s="2" t="inlineStr">
        <is>
          <t>정기예금</t>
        </is>
      </c>
      <c r="E126" s="2" t="inlineStr">
        <is>
          <t>rate_threshold</t>
        </is>
      </c>
      <c r="F126" s="2" t="inlineStr">
        <is>
          <t>한국스탠다드차타드은행 'e-그린세이브예금'(12개월 만기)의 최고 우대금리는 연 3.65%보다 높거나 같은가?</t>
        </is>
      </c>
      <c r="G126" s="2" t="inlineStr">
        <is>
          <t>boolean</t>
        </is>
      </c>
      <c r="H126" s="2" t="inlineStr">
        <is>
          <t>YES</t>
        </is>
      </c>
      <c r="I126" s="2" t="inlineStr"/>
      <c r="J126" s="2" t="inlineStr">
        <is>
          <t>금융감독원 금융상품통합비교공시 Open API (finlife.fss.or.kr), 202608</t>
        </is>
      </c>
      <c r="K126" s="2" t="inlineStr">
        <is>
          <t>한국스탠다드차타드은행:00320342:intr_rate2(12개월)</t>
        </is>
      </c>
      <c r="L126" s="2" t="inlineStr">
        <is>
          <t>3.85</t>
        </is>
      </c>
    </row>
    <row r="127">
      <c r="A127" s="2" t="inlineStr">
        <is>
          <t>PRD-0126</t>
        </is>
      </c>
      <c r="B127" s="2" t="inlineStr">
        <is>
          <t>공시형</t>
        </is>
      </c>
      <c r="C127" s="2" t="inlineStr">
        <is>
          <t>예금</t>
        </is>
      </c>
      <c r="D127" s="2" t="inlineStr">
        <is>
          <t>정기예금</t>
        </is>
      </c>
      <c r="E127" s="2" t="inlineStr">
        <is>
          <t>rate_threshold</t>
        </is>
      </c>
      <c r="F127" s="2" t="inlineStr">
        <is>
          <t>연 4.05% 이상의 최고 우대금리를 한국스탠다드차타드은행 'e-그린세이브예금'의 12개월 만기에서 기대할 수 있는가?</t>
        </is>
      </c>
      <c r="G127" s="2" t="inlineStr">
        <is>
          <t>boolean</t>
        </is>
      </c>
      <c r="H127" s="2" t="inlineStr">
        <is>
          <t>NO</t>
        </is>
      </c>
      <c r="I127" s="2" t="inlineStr"/>
      <c r="J127" s="2" t="inlineStr">
        <is>
          <t>금융감독원 금융상품통합비교공시 Open API (finlife.fss.or.kr), 202608</t>
        </is>
      </c>
      <c r="K127" s="2" t="inlineStr">
        <is>
          <t>한국스탠다드차타드은행:00320342:intr_rate2(12개월)</t>
        </is>
      </c>
      <c r="L127" s="2" t="inlineStr">
        <is>
          <t>3.85</t>
        </is>
      </c>
    </row>
    <row r="128">
      <c r="A128" s="2" t="inlineStr">
        <is>
          <t>PRD-0127</t>
        </is>
      </c>
      <c r="B128" s="2" t="inlineStr">
        <is>
          <t>공시형</t>
        </is>
      </c>
      <c r="C128" s="2" t="inlineStr">
        <is>
          <t>예금</t>
        </is>
      </c>
      <c r="D128" s="2" t="inlineStr">
        <is>
          <t>적금</t>
        </is>
      </c>
      <c r="E128" s="2" t="inlineStr">
        <is>
          <t>rate_threshold</t>
        </is>
      </c>
      <c r="F128" s="2" t="inlineStr">
        <is>
          <t>경남은행 '행복 DREAM 적금'(12개월 만기)의 최고 우대금리는 연 3.70%보다 높거나 같은가?</t>
        </is>
      </c>
      <c r="G128" s="2" t="inlineStr">
        <is>
          <t>boolean</t>
        </is>
      </c>
      <c r="H128" s="2" t="inlineStr">
        <is>
          <t>YES</t>
        </is>
      </c>
      <c r="I128" s="2" t="inlineStr"/>
      <c r="J128" s="2" t="inlineStr">
        <is>
          <t>금융감독원 금융상품통합비교공시 Open API (finlife.fss.or.kr), 202608</t>
        </is>
      </c>
      <c r="K128" s="2" t="inlineStr">
        <is>
          <t>경남은행:21000111:intr_rate2(12개월)</t>
        </is>
      </c>
      <c r="L128" s="2" t="inlineStr">
        <is>
          <t>3.9</t>
        </is>
      </c>
    </row>
    <row r="129">
      <c r="A129" s="2" t="inlineStr">
        <is>
          <t>PRD-0128</t>
        </is>
      </c>
      <c r="B129" s="2" t="inlineStr">
        <is>
          <t>공시형</t>
        </is>
      </c>
      <c r="C129" s="2" t="inlineStr">
        <is>
          <t>예금</t>
        </is>
      </c>
      <c r="D129" s="2" t="inlineStr">
        <is>
          <t>적금</t>
        </is>
      </c>
      <c r="E129" s="2" t="inlineStr">
        <is>
          <t>rate_threshold</t>
        </is>
      </c>
      <c r="F129" s="2" t="inlineStr">
        <is>
          <t>12개월 만기 기준, 경남은행 '행복 DREAM 적금'의 최고 우대금리가 연 4.10% 이상인가?</t>
        </is>
      </c>
      <c r="G129" s="2" t="inlineStr">
        <is>
          <t>boolean</t>
        </is>
      </c>
      <c r="H129" s="2" t="inlineStr">
        <is>
          <t>NO</t>
        </is>
      </c>
      <c r="I129" s="2" t="inlineStr"/>
      <c r="J129" s="2" t="inlineStr">
        <is>
          <t>금융감독원 금융상품통합비교공시 Open API (finlife.fss.or.kr), 202608</t>
        </is>
      </c>
      <c r="K129" s="2" t="inlineStr">
        <is>
          <t>경남은행:21000111:intr_rate2(12개월)</t>
        </is>
      </c>
      <c r="L129" s="2" t="inlineStr">
        <is>
          <t>3.9</t>
        </is>
      </c>
    </row>
    <row r="130">
      <c r="A130" s="2" t="inlineStr">
        <is>
          <t>PRD-0129</t>
        </is>
      </c>
      <c r="B130" s="2" t="inlineStr">
        <is>
          <t>공시형</t>
        </is>
      </c>
      <c r="C130" s="2" t="inlineStr">
        <is>
          <t>예금</t>
        </is>
      </c>
      <c r="D130" s="2" t="inlineStr">
        <is>
          <t>적금</t>
        </is>
      </c>
      <c r="E130" s="2" t="inlineStr">
        <is>
          <t>rate_threshold</t>
        </is>
      </c>
      <c r="F130" s="2" t="inlineStr">
        <is>
          <t>경남은행 'BNK더조은자유적금'의 12개월 만기 최고 우대금리는 연 3.70% 이상인가?</t>
        </is>
      </c>
      <c r="G130" s="2" t="inlineStr">
        <is>
          <t>boolean</t>
        </is>
      </c>
      <c r="H130" s="2" t="inlineStr">
        <is>
          <t>YES</t>
        </is>
      </c>
      <c r="I130" s="2" t="inlineStr"/>
      <c r="J130" s="2" t="inlineStr">
        <is>
          <t>금융감독원 금융상품통합비교공시 Open API (finlife.fss.or.kr), 202608</t>
        </is>
      </c>
      <c r="K130" s="2" t="inlineStr">
        <is>
          <t>경남은행:21001116:intr_rate2(12개월)</t>
        </is>
      </c>
      <c r="L130" s="2" t="inlineStr">
        <is>
          <t>3.9</t>
        </is>
      </c>
    </row>
    <row r="131">
      <c r="A131" s="2" t="inlineStr">
        <is>
          <t>PRD-0130</t>
        </is>
      </c>
      <c r="B131" s="2" t="inlineStr">
        <is>
          <t>공시형</t>
        </is>
      </c>
      <c r="C131" s="2" t="inlineStr">
        <is>
          <t>예금</t>
        </is>
      </c>
      <c r="D131" s="2" t="inlineStr">
        <is>
          <t>적금</t>
        </is>
      </c>
      <c r="E131" s="2" t="inlineStr">
        <is>
          <t>rate_threshold</t>
        </is>
      </c>
      <c r="F131" s="2" t="inlineStr">
        <is>
          <t>경남은행 'BNK더조은자유적금'의 12개월 만기 최고 우대금리는 연 4.10% 이상인가?</t>
        </is>
      </c>
      <c r="G131" s="2" t="inlineStr">
        <is>
          <t>boolean</t>
        </is>
      </c>
      <c r="H131" s="2" t="inlineStr">
        <is>
          <t>NO</t>
        </is>
      </c>
      <c r="I131" s="2" t="inlineStr"/>
      <c r="J131" s="2" t="inlineStr">
        <is>
          <t>금융감독원 금융상품통합비교공시 Open API (finlife.fss.or.kr), 202608</t>
        </is>
      </c>
      <c r="K131" s="2" t="inlineStr">
        <is>
          <t>경남은행:21001116:intr_rate2(12개월)</t>
        </is>
      </c>
      <c r="L131" s="2" t="inlineStr">
        <is>
          <t>3.9</t>
        </is>
      </c>
    </row>
    <row r="132">
      <c r="A132" s="2" t="inlineStr">
        <is>
          <t>PRD-0131</t>
        </is>
      </c>
      <c r="B132" s="2" t="inlineStr">
        <is>
          <t>공시형</t>
        </is>
      </c>
      <c r="C132" s="2" t="inlineStr">
        <is>
          <t>예금</t>
        </is>
      </c>
      <c r="D132" s="2" t="inlineStr">
        <is>
          <t>적금</t>
        </is>
      </c>
      <c r="E132" s="2" t="inlineStr">
        <is>
          <t>rate_threshold</t>
        </is>
      </c>
      <c r="F132" s="2" t="inlineStr">
        <is>
          <t>경남은행 'BNK 위더스자유적금'의 12개월 만기 최고 우대금리는 연 4.60% 이상인가?</t>
        </is>
      </c>
      <c r="G132" s="2" t="inlineStr">
        <is>
          <t>boolean</t>
        </is>
      </c>
      <c r="H132" s="2" t="inlineStr">
        <is>
          <t>YES</t>
        </is>
      </c>
      <c r="I132" s="2" t="inlineStr"/>
      <c r="J132" s="2" t="inlineStr">
        <is>
          <t>금융감독원 금융상품통합비교공시 Open API (finlife.fss.or.kr), 202608</t>
        </is>
      </c>
      <c r="K132" s="2" t="inlineStr">
        <is>
          <t>경남은행:21001199:intr_rate2(12개월)</t>
        </is>
      </c>
      <c r="L132" s="2" t="inlineStr">
        <is>
          <t>4.8</t>
        </is>
      </c>
    </row>
    <row r="133">
      <c r="A133" s="2" t="inlineStr">
        <is>
          <t>PRD-0132</t>
        </is>
      </c>
      <c r="B133" s="2" t="inlineStr">
        <is>
          <t>공시형</t>
        </is>
      </c>
      <c r="C133" s="2" t="inlineStr">
        <is>
          <t>예금</t>
        </is>
      </c>
      <c r="D133" s="2" t="inlineStr">
        <is>
          <t>적금</t>
        </is>
      </c>
      <c r="E133" s="2" t="inlineStr">
        <is>
          <t>rate_threshold</t>
        </is>
      </c>
      <c r="F133" s="2" t="inlineStr">
        <is>
          <t>연 5.00% 이상의 최고 우대금리를 경남은행 'BNK 위더스자유적금'의 12개월 만기에서 기대할 수 있는가?</t>
        </is>
      </c>
      <c r="G133" s="2" t="inlineStr">
        <is>
          <t>boolean</t>
        </is>
      </c>
      <c r="H133" s="2" t="inlineStr">
        <is>
          <t>NO</t>
        </is>
      </c>
      <c r="I133" s="2" t="inlineStr"/>
      <c r="J133" s="2" t="inlineStr">
        <is>
          <t>금융감독원 금융상품통합비교공시 Open API (finlife.fss.or.kr), 202608</t>
        </is>
      </c>
      <c r="K133" s="2" t="inlineStr">
        <is>
          <t>경남은행:21001199:intr_rate2(12개월)</t>
        </is>
      </c>
      <c r="L133" s="2" t="inlineStr">
        <is>
          <t>4.8</t>
        </is>
      </c>
    </row>
    <row r="134">
      <c r="A134" s="2" t="inlineStr">
        <is>
          <t>PRD-0133</t>
        </is>
      </c>
      <c r="B134" s="2" t="inlineStr">
        <is>
          <t>공시형</t>
        </is>
      </c>
      <c r="C134" s="2" t="inlineStr">
        <is>
          <t>예금</t>
        </is>
      </c>
      <c r="D134" s="2" t="inlineStr">
        <is>
          <t>적금</t>
        </is>
      </c>
      <c r="E134" s="2" t="inlineStr">
        <is>
          <t>rate_threshold</t>
        </is>
      </c>
      <c r="F134" s="2" t="inlineStr">
        <is>
          <t>경남은행 '주거래 프리미엄 적금'(12개월 만기)의 최고 우대금리는 연 4.10%보다 높거나 같은가?</t>
        </is>
      </c>
      <c r="G134" s="2" t="inlineStr">
        <is>
          <t>boolean</t>
        </is>
      </c>
      <c r="H134" s="2" t="inlineStr">
        <is>
          <t>YES</t>
        </is>
      </c>
      <c r="I134" s="2" t="inlineStr"/>
      <c r="J134" s="2" t="inlineStr">
        <is>
          <t>금융감독원 금융상품통합비교공시 Open API (finlife.fss.or.kr), 202608</t>
        </is>
      </c>
      <c r="K134" s="2" t="inlineStr">
        <is>
          <t>경남은행:21001236:intr_rate2(12개월)</t>
        </is>
      </c>
      <c r="L134" s="2" t="inlineStr">
        <is>
          <t>4.3</t>
        </is>
      </c>
    </row>
    <row r="135">
      <c r="A135" s="2" t="inlineStr">
        <is>
          <t>PRD-0134</t>
        </is>
      </c>
      <c r="B135" s="2" t="inlineStr">
        <is>
          <t>공시형</t>
        </is>
      </c>
      <c r="C135" s="2" t="inlineStr">
        <is>
          <t>예금</t>
        </is>
      </c>
      <c r="D135" s="2" t="inlineStr">
        <is>
          <t>적금</t>
        </is>
      </c>
      <c r="E135" s="2" t="inlineStr">
        <is>
          <t>rate_threshold</t>
        </is>
      </c>
      <c r="F135" s="2" t="inlineStr">
        <is>
          <t>경남은행 '주거래 프리미엄 적금'(12개월 만기)의 최고 우대금리는 연 4.50%보다 높거나 같은가?</t>
        </is>
      </c>
      <c r="G135" s="2" t="inlineStr">
        <is>
          <t>boolean</t>
        </is>
      </c>
      <c r="H135" s="2" t="inlineStr">
        <is>
          <t>NO</t>
        </is>
      </c>
      <c r="I135" s="2" t="inlineStr"/>
      <c r="J135" s="2" t="inlineStr">
        <is>
          <t>금융감독원 금융상품통합비교공시 Open API (finlife.fss.or.kr), 202608</t>
        </is>
      </c>
      <c r="K135" s="2" t="inlineStr">
        <is>
          <t>경남은행:21001236:intr_rate2(12개월)</t>
        </is>
      </c>
      <c r="L135" s="2" t="inlineStr">
        <is>
          <t>4.3</t>
        </is>
      </c>
    </row>
    <row r="136">
      <c r="A136" s="2" t="inlineStr">
        <is>
          <t>PRD-0135</t>
        </is>
      </c>
      <c r="B136" s="2" t="inlineStr">
        <is>
          <t>공시형</t>
        </is>
      </c>
      <c r="C136" s="2" t="inlineStr">
        <is>
          <t>대출</t>
        </is>
      </c>
      <c r="D136" s="2" t="inlineStr">
        <is>
          <t>신용대출</t>
        </is>
      </c>
      <c r="E136" s="2" t="inlineStr">
        <is>
          <t>join_way</t>
        </is>
      </c>
      <c r="F136" s="2" t="inlineStr">
        <is>
          <t>경남은행 '일반신용대출'은(는) 영업점을 통한 가입이 가능한 상품인가?</t>
        </is>
      </c>
      <c r="G136" s="2" t="inlineStr">
        <is>
          <t>boolean</t>
        </is>
      </c>
      <c r="H136" s="2" t="inlineStr">
        <is>
          <t>YES</t>
        </is>
      </c>
      <c r="I136" s="2" t="inlineStr"/>
      <c r="J136" s="2" t="inlineStr">
        <is>
          <t>금융감독원 금융상품통합비교공시 Open API (finlife.fss.or.kr), 202608</t>
        </is>
      </c>
      <c r="K136" s="2" t="inlineStr">
        <is>
          <t>경남은행:CR0001A:join_way</t>
        </is>
      </c>
      <c r="L136" s="2" t="inlineStr">
        <is>
          <t>영업점,스마트폰</t>
        </is>
      </c>
    </row>
    <row r="137">
      <c r="A137" s="2" t="inlineStr">
        <is>
          <t>PRD-0136</t>
        </is>
      </c>
      <c r="B137" s="2" t="inlineStr">
        <is>
          <t>공시형</t>
        </is>
      </c>
      <c r="C137" s="2" t="inlineStr">
        <is>
          <t>대출</t>
        </is>
      </c>
      <c r="D137" s="2" t="inlineStr">
        <is>
          <t>신용대출</t>
        </is>
      </c>
      <c r="E137" s="2" t="inlineStr">
        <is>
          <t>join_way</t>
        </is>
      </c>
      <c r="F137" s="2" t="inlineStr">
        <is>
          <t>경남은행 '일반신용대출'의 가입 경로에 인터넷이 포함되는가?</t>
        </is>
      </c>
      <c r="G137" s="2" t="inlineStr">
        <is>
          <t>boolean</t>
        </is>
      </c>
      <c r="H137" s="2" t="inlineStr">
        <is>
          <t>NO</t>
        </is>
      </c>
      <c r="I137" s="2" t="inlineStr"/>
      <c r="J137" s="2" t="inlineStr">
        <is>
          <t>금융감독원 금융상품통합비교공시 Open API (finlife.fss.or.kr), 202608</t>
        </is>
      </c>
      <c r="K137" s="2" t="inlineStr">
        <is>
          <t>경남은행:CR0001A:join_way</t>
        </is>
      </c>
      <c r="L137" s="2" t="inlineStr">
        <is>
          <t>영업점,스마트폰</t>
        </is>
      </c>
    </row>
    <row r="138">
      <c r="A138" s="2" t="inlineStr">
        <is>
          <t>PRD-0137</t>
        </is>
      </c>
      <c r="B138" s="2" t="inlineStr">
        <is>
          <t>공시형</t>
        </is>
      </c>
      <c r="C138" s="2" t="inlineStr">
        <is>
          <t>대출</t>
        </is>
      </c>
      <c r="D138" s="2" t="inlineStr">
        <is>
          <t>신용대출</t>
        </is>
      </c>
      <c r="E138" s="2" t="inlineStr">
        <is>
          <t>join_way</t>
        </is>
      </c>
      <c r="F138" s="2" t="inlineStr">
        <is>
          <t>경남은행 '마이너스한도대출'의 가입 경로에 영업점이 포함되는가?</t>
        </is>
      </c>
      <c r="G138" s="2" t="inlineStr">
        <is>
          <t>boolean</t>
        </is>
      </c>
      <c r="H138" s="2" t="inlineStr">
        <is>
          <t>YES</t>
        </is>
      </c>
      <c r="I138" s="2" t="inlineStr"/>
      <c r="J138" s="2" t="inlineStr">
        <is>
          <t>금융감독원 금융상품통합비교공시 Open API (finlife.fss.or.kr), 202608</t>
        </is>
      </c>
      <c r="K138" s="2" t="inlineStr">
        <is>
          <t>경남은행:CR0001B:join_way</t>
        </is>
      </c>
      <c r="L138" s="2" t="inlineStr">
        <is>
          <t>영업점,스마트폰</t>
        </is>
      </c>
    </row>
    <row r="139">
      <c r="A139" s="2" t="inlineStr">
        <is>
          <t>PRD-0138</t>
        </is>
      </c>
      <c r="B139" s="2" t="inlineStr">
        <is>
          <t>공시형</t>
        </is>
      </c>
      <c r="C139" s="2" t="inlineStr">
        <is>
          <t>대출</t>
        </is>
      </c>
      <c r="D139" s="2" t="inlineStr">
        <is>
          <t>신용대출</t>
        </is>
      </c>
      <c r="E139" s="2" t="inlineStr">
        <is>
          <t>join_way</t>
        </is>
      </c>
      <c r="F139" s="2" t="inlineStr">
        <is>
          <t>경남은행 '마이너스한도대출'은(는) 인터넷을 통한 가입이 가능한 상품인가?</t>
        </is>
      </c>
      <c r="G139" s="2" t="inlineStr">
        <is>
          <t>boolean</t>
        </is>
      </c>
      <c r="H139" s="2" t="inlineStr">
        <is>
          <t>NO</t>
        </is>
      </c>
      <c r="I139" s="2" t="inlineStr"/>
      <c r="J139" s="2" t="inlineStr">
        <is>
          <t>금융감독원 금융상품통합비교공시 Open API (finlife.fss.or.kr), 202608</t>
        </is>
      </c>
      <c r="K139" s="2" t="inlineStr">
        <is>
          <t>경남은행:CR0001B:join_way</t>
        </is>
      </c>
      <c r="L139" s="2" t="inlineStr">
        <is>
          <t>영업점,스마트폰</t>
        </is>
      </c>
    </row>
    <row r="140">
      <c r="A140" s="2" t="inlineStr">
        <is>
          <t>PRD-0139</t>
        </is>
      </c>
      <c r="B140" s="2" t="inlineStr">
        <is>
          <t>공시형</t>
        </is>
      </c>
      <c r="C140" s="2" t="inlineStr">
        <is>
          <t>대출</t>
        </is>
      </c>
      <c r="D140" s="2" t="inlineStr">
        <is>
          <t>신용대출</t>
        </is>
      </c>
      <c r="E140" s="2" t="inlineStr">
        <is>
          <t>join_way</t>
        </is>
      </c>
      <c r="F140" s="2" t="inlineStr">
        <is>
          <t>경남은행 '장기카드대출'의 가입 경로에 영업점이 포함되는가?</t>
        </is>
      </c>
      <c r="G140" s="2" t="inlineStr">
        <is>
          <t>boolean</t>
        </is>
      </c>
      <c r="H140" s="2" t="inlineStr">
        <is>
          <t>YES</t>
        </is>
      </c>
      <c r="I140" s="2" t="inlineStr"/>
      <c r="J140" s="2" t="inlineStr">
        <is>
          <t>금융감독원 금융상품통합비교공시 Open API (finlife.fss.or.kr), 202608</t>
        </is>
      </c>
      <c r="K140" s="2" t="inlineStr">
        <is>
          <t>경남은행:WR0002F:join_way</t>
        </is>
      </c>
      <c r="L140" s="2" t="inlineStr">
        <is>
          <t>영업점,인터넷,스마트폰,전화(텔레뱅킹),기타</t>
        </is>
      </c>
    </row>
    <row r="141">
      <c r="A141" s="2" t="inlineStr">
        <is>
          <t>PRD-0140</t>
        </is>
      </c>
      <c r="B141" s="2" t="inlineStr">
        <is>
          <t>공시형</t>
        </is>
      </c>
      <c r="C141" s="2" t="inlineStr">
        <is>
          <t>대출</t>
        </is>
      </c>
      <c r="D141" s="2" t="inlineStr">
        <is>
          <t>신용대출</t>
        </is>
      </c>
      <c r="E141" s="2" t="inlineStr">
        <is>
          <t>join_way</t>
        </is>
      </c>
      <c r="F141" s="2" t="inlineStr">
        <is>
          <t>광주은행 '일반신용대출'의 가입 경로에 영업점이 포함되는가?</t>
        </is>
      </c>
      <c r="G141" s="2" t="inlineStr">
        <is>
          <t>boolean</t>
        </is>
      </c>
      <c r="H141" s="2" t="inlineStr">
        <is>
          <t>YES</t>
        </is>
      </c>
      <c r="I141" s="2" t="inlineStr"/>
      <c r="J141" s="2" t="inlineStr">
        <is>
          <t>금융감독원 금융상품통합비교공시 Open API (finlife.fss.or.kr), 202608</t>
        </is>
      </c>
      <c r="K141" s="2" t="inlineStr">
        <is>
          <t>광주은행:1:join_way</t>
        </is>
      </c>
      <c r="L141" s="2" t="inlineStr">
        <is>
          <t>영업점,스마트폰</t>
        </is>
      </c>
    </row>
    <row r="142">
      <c r="A142" s="2" t="inlineStr">
        <is>
          <t>PRD-0141</t>
        </is>
      </c>
      <c r="B142" s="2" t="inlineStr">
        <is>
          <t>공시형</t>
        </is>
      </c>
      <c r="C142" s="2" t="inlineStr">
        <is>
          <t>대출</t>
        </is>
      </c>
      <c r="D142" s="2" t="inlineStr">
        <is>
          <t>신용대출</t>
        </is>
      </c>
      <c r="E142" s="2" t="inlineStr">
        <is>
          <t>join_way</t>
        </is>
      </c>
      <c r="F142" s="2" t="inlineStr">
        <is>
          <t>광주은행 '일반신용대출'은(는) 인터넷을 통한 가입이 가능한 상품인가?</t>
        </is>
      </c>
      <c r="G142" s="2" t="inlineStr">
        <is>
          <t>boolean</t>
        </is>
      </c>
      <c r="H142" s="2" t="inlineStr">
        <is>
          <t>NO</t>
        </is>
      </c>
      <c r="I142" s="2" t="inlineStr"/>
      <c r="J142" s="2" t="inlineStr">
        <is>
          <t>금융감독원 금융상품통합비교공시 Open API (finlife.fss.or.kr), 202608</t>
        </is>
      </c>
      <c r="K142" s="2" t="inlineStr">
        <is>
          <t>광주은행:1:join_way</t>
        </is>
      </c>
      <c r="L142" s="2" t="inlineStr">
        <is>
          <t>영업점,스마트폰</t>
        </is>
      </c>
    </row>
    <row r="143">
      <c r="A143" s="2" t="inlineStr">
        <is>
          <t>PRD-0142</t>
        </is>
      </c>
      <c r="B143" s="2" t="inlineStr">
        <is>
          <t>공시형</t>
        </is>
      </c>
      <c r="C143" s="2" t="inlineStr">
        <is>
          <t>대출</t>
        </is>
      </c>
      <c r="D143" s="2" t="inlineStr">
        <is>
          <t>신용대출</t>
        </is>
      </c>
      <c r="E143" s="2" t="inlineStr">
        <is>
          <t>join_way</t>
        </is>
      </c>
      <c r="F143" s="2" t="inlineStr">
        <is>
          <t>광주은행 '마이너스한도대출'은(는) 영업점을 통한 가입이 가능한 상품인가?</t>
        </is>
      </c>
      <c r="G143" s="2" t="inlineStr">
        <is>
          <t>boolean</t>
        </is>
      </c>
      <c r="H143" s="2" t="inlineStr">
        <is>
          <t>YES</t>
        </is>
      </c>
      <c r="I143" s="2" t="inlineStr"/>
      <c r="J143" s="2" t="inlineStr">
        <is>
          <t>금융감독원 금융상품통합비교공시 Open API (finlife.fss.or.kr), 202608</t>
        </is>
      </c>
      <c r="K143" s="2" t="inlineStr">
        <is>
          <t>광주은행:2:join_way</t>
        </is>
      </c>
      <c r="L143" s="2" t="inlineStr">
        <is>
          <t>영업점,스마트폰</t>
        </is>
      </c>
    </row>
    <row r="144">
      <c r="A144" s="2" t="inlineStr">
        <is>
          <t>PRD-0143</t>
        </is>
      </c>
      <c r="B144" s="2" t="inlineStr">
        <is>
          <t>공시형</t>
        </is>
      </c>
      <c r="C144" s="2" t="inlineStr">
        <is>
          <t>대출</t>
        </is>
      </c>
      <c r="D144" s="2" t="inlineStr">
        <is>
          <t>신용대출</t>
        </is>
      </c>
      <c r="E144" s="2" t="inlineStr">
        <is>
          <t>join_way</t>
        </is>
      </c>
      <c r="F144" s="2" t="inlineStr">
        <is>
          <t>광주은행 '마이너스한도대출'의 가입 경로에 인터넷이 포함되는가?</t>
        </is>
      </c>
      <c r="G144" s="2" t="inlineStr">
        <is>
          <t>boolean</t>
        </is>
      </c>
      <c r="H144" s="2" t="inlineStr">
        <is>
          <t>NO</t>
        </is>
      </c>
      <c r="I144" s="2" t="inlineStr"/>
      <c r="J144" s="2" t="inlineStr">
        <is>
          <t>금융감독원 금융상품통합비교공시 Open API (finlife.fss.or.kr), 202608</t>
        </is>
      </c>
      <c r="K144" s="2" t="inlineStr">
        <is>
          <t>광주은행:2:join_way</t>
        </is>
      </c>
      <c r="L144" s="2" t="inlineStr">
        <is>
          <t>영업점,스마트폰</t>
        </is>
      </c>
    </row>
    <row r="145">
      <c r="A145" s="2" t="inlineStr">
        <is>
          <t>PRD-0144</t>
        </is>
      </c>
      <c r="B145" s="2" t="inlineStr">
        <is>
          <t>공시형</t>
        </is>
      </c>
      <c r="C145" s="2" t="inlineStr">
        <is>
          <t>대출</t>
        </is>
      </c>
      <c r="D145" s="2" t="inlineStr">
        <is>
          <t>신용대출</t>
        </is>
      </c>
      <c r="E145" s="2" t="inlineStr">
        <is>
          <t>join_way</t>
        </is>
      </c>
      <c r="F145" s="2" t="inlineStr">
        <is>
          <t>광주은행 '장기카드대출'의 가입 경로에 영업점이 포함되는가?</t>
        </is>
      </c>
      <c r="G145" s="2" t="inlineStr">
        <is>
          <t>boolean</t>
        </is>
      </c>
      <c r="H145" s="2" t="inlineStr">
        <is>
          <t>YES</t>
        </is>
      </c>
      <c r="I145" s="2" t="inlineStr"/>
      <c r="J145" s="2" t="inlineStr">
        <is>
          <t>금융감독원 금융상품통합비교공시 Open API (finlife.fss.or.kr), 202608</t>
        </is>
      </c>
      <c r="K145" s="2" t="inlineStr">
        <is>
          <t>광주은행:WR0002F:join_way</t>
        </is>
      </c>
      <c r="L145" s="2" t="inlineStr">
        <is>
          <t>영업점,인터넷,기타</t>
        </is>
      </c>
    </row>
    <row r="146">
      <c r="A146" s="2" t="inlineStr">
        <is>
          <t>PRD-0145</t>
        </is>
      </c>
      <c r="B146" s="2" t="inlineStr">
        <is>
          <t>공시형</t>
        </is>
      </c>
      <c r="C146" s="2" t="inlineStr">
        <is>
          <t>대출</t>
        </is>
      </c>
      <c r="D146" s="2" t="inlineStr">
        <is>
          <t>신용대출</t>
        </is>
      </c>
      <c r="E146" s="2" t="inlineStr">
        <is>
          <t>join_way</t>
        </is>
      </c>
      <c r="F146" s="2" t="inlineStr">
        <is>
          <t>광주은행 '장기카드대출'은(는) 스마트폰 경로로 가입할 수 있는가?</t>
        </is>
      </c>
      <c r="G146" s="2" t="inlineStr">
        <is>
          <t>boolean</t>
        </is>
      </c>
      <c r="H146" s="2" t="inlineStr">
        <is>
          <t>NO</t>
        </is>
      </c>
      <c r="I146" s="2" t="inlineStr"/>
      <c r="J146" s="2" t="inlineStr">
        <is>
          <t>금융감독원 금융상품통합비교공시 Open API (finlife.fss.or.kr), 202608</t>
        </is>
      </c>
      <c r="K146" s="2" t="inlineStr">
        <is>
          <t>광주은행:WR0002F:join_way</t>
        </is>
      </c>
      <c r="L146" s="2" t="inlineStr">
        <is>
          <t>영업점,인터넷,기타</t>
        </is>
      </c>
    </row>
    <row r="147">
      <c r="A147" s="2" t="inlineStr">
        <is>
          <t>PRD-0146</t>
        </is>
      </c>
      <c r="B147" s="2" t="inlineStr">
        <is>
          <t>공시형</t>
        </is>
      </c>
      <c r="C147" s="2" t="inlineStr">
        <is>
          <t>대출</t>
        </is>
      </c>
      <c r="D147" s="2" t="inlineStr">
        <is>
          <t>신용대출</t>
        </is>
      </c>
      <c r="E147" s="2" t="inlineStr">
        <is>
          <t>join_way</t>
        </is>
      </c>
      <c r="F147" s="2" t="inlineStr">
        <is>
          <t>국민은행 '일반신용대출'은(는) 영업점을 통한 가입이 가능한 상품인가?</t>
        </is>
      </c>
      <c r="G147" s="2" t="inlineStr">
        <is>
          <t>boolean</t>
        </is>
      </c>
      <c r="H147" s="2" t="inlineStr">
        <is>
          <t>YES</t>
        </is>
      </c>
      <c r="I147" s="2" t="inlineStr"/>
      <c r="J147" s="2" t="inlineStr">
        <is>
          <t>금융감독원 금융상품통합비교공시 Open API (finlife.fss.or.kr), 202608</t>
        </is>
      </c>
      <c r="K147" s="2" t="inlineStr">
        <is>
          <t>국민은행:KB200200000001:join_way</t>
        </is>
      </c>
      <c r="L147" s="2" t="inlineStr">
        <is>
          <t>영업점,인터넷,스마트폰</t>
        </is>
      </c>
    </row>
    <row r="148">
      <c r="A148" s="2" t="inlineStr">
        <is>
          <t>PRD-0147</t>
        </is>
      </c>
      <c r="B148" s="2" t="inlineStr">
        <is>
          <t>공시형</t>
        </is>
      </c>
      <c r="C148" s="2" t="inlineStr">
        <is>
          <t>대출</t>
        </is>
      </c>
      <c r="D148" s="2" t="inlineStr">
        <is>
          <t>신용대출</t>
        </is>
      </c>
      <c r="E148" s="2" t="inlineStr">
        <is>
          <t>join_way</t>
        </is>
      </c>
      <c r="F148" s="2" t="inlineStr">
        <is>
          <t>국민은행 '일반신용대출'은(는) 전화(텔레뱅킹) 경로로 가입할 수 있는가?</t>
        </is>
      </c>
      <c r="G148" s="2" t="inlineStr">
        <is>
          <t>boolean</t>
        </is>
      </c>
      <c r="H148" s="2" t="inlineStr">
        <is>
          <t>NO</t>
        </is>
      </c>
      <c r="I148" s="2" t="inlineStr"/>
      <c r="J148" s="2" t="inlineStr">
        <is>
          <t>금융감독원 금융상품통합비교공시 Open API (finlife.fss.or.kr), 202608</t>
        </is>
      </c>
      <c r="K148" s="2" t="inlineStr">
        <is>
          <t>국민은행:KB200200000001:join_way</t>
        </is>
      </c>
      <c r="L148" s="2" t="inlineStr">
        <is>
          <t>영업점,인터넷,스마트폰</t>
        </is>
      </c>
    </row>
    <row r="149">
      <c r="A149" s="2" t="inlineStr">
        <is>
          <t>PRD-0148</t>
        </is>
      </c>
      <c r="B149" s="2" t="inlineStr">
        <is>
          <t>공시형</t>
        </is>
      </c>
      <c r="C149" s="2" t="inlineStr">
        <is>
          <t>대출</t>
        </is>
      </c>
      <c r="D149" s="2" t="inlineStr">
        <is>
          <t>신용대출</t>
        </is>
      </c>
      <c r="E149" s="2" t="inlineStr">
        <is>
          <t>join_way</t>
        </is>
      </c>
      <c r="F149" s="2" t="inlineStr">
        <is>
          <t>국민은행 '마이너스한도대출'의 가입 경로에 영업점이 포함되는가?</t>
        </is>
      </c>
      <c r="G149" s="2" t="inlineStr">
        <is>
          <t>boolean</t>
        </is>
      </c>
      <c r="H149" s="2" t="inlineStr">
        <is>
          <t>YES</t>
        </is>
      </c>
      <c r="I149" s="2" t="inlineStr"/>
      <c r="J149" s="2" t="inlineStr">
        <is>
          <t>금융감독원 금융상품통합비교공시 Open API (finlife.fss.or.kr), 202608</t>
        </is>
      </c>
      <c r="K149" s="2" t="inlineStr">
        <is>
          <t>국민은행:KB200200000002:join_way</t>
        </is>
      </c>
      <c r="L149" s="2" t="inlineStr">
        <is>
          <t>영업점,인터넷,스마트폰</t>
        </is>
      </c>
    </row>
    <row r="150">
      <c r="A150" s="2" t="inlineStr">
        <is>
          <t>PRD-0149</t>
        </is>
      </c>
      <c r="B150" s="2" t="inlineStr">
        <is>
          <t>공시형</t>
        </is>
      </c>
      <c r="C150" s="2" t="inlineStr">
        <is>
          <t>대출</t>
        </is>
      </c>
      <c r="D150" s="2" t="inlineStr">
        <is>
          <t>신용대출</t>
        </is>
      </c>
      <c r="E150" s="2" t="inlineStr">
        <is>
          <t>join_way</t>
        </is>
      </c>
      <c r="F150" s="2" t="inlineStr">
        <is>
          <t>국민은행 '마이너스한도대출'은(는) 전화(텔레뱅킹) 경로로 가입할 수 있는가?</t>
        </is>
      </c>
      <c r="G150" s="2" t="inlineStr">
        <is>
          <t>boolean</t>
        </is>
      </c>
      <c r="H150" s="2" t="inlineStr">
        <is>
          <t>NO</t>
        </is>
      </c>
      <c r="I150" s="2" t="inlineStr"/>
      <c r="J150" s="2" t="inlineStr">
        <is>
          <t>금융감독원 금융상품통합비교공시 Open API (finlife.fss.or.kr), 202608</t>
        </is>
      </c>
      <c r="K150" s="2" t="inlineStr">
        <is>
          <t>국민은행:KB200200000002:join_way</t>
        </is>
      </c>
      <c r="L150" s="2" t="inlineStr">
        <is>
          <t>영업점,인터넷,스마트폰</t>
        </is>
      </c>
    </row>
    <row r="151">
      <c r="A151" s="2" t="inlineStr">
        <is>
          <t>PRD-0150</t>
        </is>
      </c>
      <c r="B151" s="2" t="inlineStr">
        <is>
          <t>공시형</t>
        </is>
      </c>
      <c r="C151" s="2" t="inlineStr">
        <is>
          <t>대출</t>
        </is>
      </c>
      <c r="D151" s="2" t="inlineStr">
        <is>
          <t>신용대출</t>
        </is>
      </c>
      <c r="E151" s="2" t="inlineStr">
        <is>
          <t>join_way</t>
        </is>
      </c>
      <c r="F151" s="2" t="inlineStr">
        <is>
          <t>농협은행주식회사 '가계신용대출(일반)'은(는) 영업점을 통한 가입이 가능한 상품인가?</t>
        </is>
      </c>
      <c r="G151" s="2" t="inlineStr">
        <is>
          <t>boolean</t>
        </is>
      </c>
      <c r="H151" s="2" t="inlineStr">
        <is>
          <t>YES</t>
        </is>
      </c>
      <c r="I151" s="2" t="inlineStr"/>
      <c r="J151" s="2" t="inlineStr">
        <is>
          <t>금융감독원 금융상품통합비교공시 Open API (finlife.fss.or.kr), 202608</t>
        </is>
      </c>
      <c r="K151" s="2" t="inlineStr">
        <is>
          <t>농협은행주식회사:CR0001A:join_way</t>
        </is>
      </c>
      <c r="L151" s="2" t="inlineStr">
        <is>
          <t>영업점</t>
        </is>
      </c>
    </row>
    <row r="152">
      <c r="A152" s="2" t="inlineStr">
        <is>
          <t>PRD-0151</t>
        </is>
      </c>
      <c r="B152" s="2" t="inlineStr">
        <is>
          <t>공시형</t>
        </is>
      </c>
      <c r="C152" s="2" t="inlineStr">
        <is>
          <t>대출</t>
        </is>
      </c>
      <c r="D152" s="2" t="inlineStr">
        <is>
          <t>신용대출</t>
        </is>
      </c>
      <c r="E152" s="2" t="inlineStr">
        <is>
          <t>join_way</t>
        </is>
      </c>
      <c r="F152" s="2" t="inlineStr">
        <is>
          <t>농협은행주식회사 '가계신용대출(일반)'의 가입 경로에 인터넷이 포함되는가?</t>
        </is>
      </c>
      <c r="G152" s="2" t="inlineStr">
        <is>
          <t>boolean</t>
        </is>
      </c>
      <c r="H152" s="2" t="inlineStr">
        <is>
          <t>NO</t>
        </is>
      </c>
      <c r="I152" s="2" t="inlineStr"/>
      <c r="J152" s="2" t="inlineStr">
        <is>
          <t>금융감독원 금융상품통합비교공시 Open API (finlife.fss.or.kr), 202608</t>
        </is>
      </c>
      <c r="K152" s="2" t="inlineStr">
        <is>
          <t>농협은행주식회사:CR0001A:join_way</t>
        </is>
      </c>
      <c r="L152" s="2" t="inlineStr">
        <is>
          <t>영업점</t>
        </is>
      </c>
    </row>
    <row r="153">
      <c r="A153" s="2" t="inlineStr">
        <is>
          <t>PRD-0152</t>
        </is>
      </c>
      <c r="B153" s="2" t="inlineStr">
        <is>
          <t>공시형</t>
        </is>
      </c>
      <c r="C153" s="2" t="inlineStr">
        <is>
          <t>대출</t>
        </is>
      </c>
      <c r="D153" s="2" t="inlineStr">
        <is>
          <t>신용대출</t>
        </is>
      </c>
      <c r="E153" s="2" t="inlineStr">
        <is>
          <t>join_way</t>
        </is>
      </c>
      <c r="F153" s="2" t="inlineStr">
        <is>
          <t>농협은행주식회사 '가계신용대출(마이너스대출)'의 가입 경로에 영업점이 포함되는가?</t>
        </is>
      </c>
      <c r="G153" s="2" t="inlineStr">
        <is>
          <t>boolean</t>
        </is>
      </c>
      <c r="H153" s="2" t="inlineStr">
        <is>
          <t>YES</t>
        </is>
      </c>
      <c r="I153" s="2" t="inlineStr"/>
      <c r="J153" s="2" t="inlineStr">
        <is>
          <t>금융감독원 금융상품통합비교공시 Open API (finlife.fss.or.kr), 202608</t>
        </is>
      </c>
      <c r="K153" s="2" t="inlineStr">
        <is>
          <t>농협은행주식회사:CR0001B:join_way</t>
        </is>
      </c>
      <c r="L153" s="2" t="inlineStr">
        <is>
          <t>영업점</t>
        </is>
      </c>
    </row>
    <row r="154">
      <c r="A154" s="2" t="inlineStr">
        <is>
          <t>PRD-0153</t>
        </is>
      </c>
      <c r="B154" s="2" t="inlineStr">
        <is>
          <t>공시형</t>
        </is>
      </c>
      <c r="C154" s="2" t="inlineStr">
        <is>
          <t>대출</t>
        </is>
      </c>
      <c r="D154" s="2" t="inlineStr">
        <is>
          <t>신용대출</t>
        </is>
      </c>
      <c r="E154" s="2" t="inlineStr">
        <is>
          <t>join_way</t>
        </is>
      </c>
      <c r="F154" s="2" t="inlineStr">
        <is>
          <t>농협은행주식회사 '가계신용대출(마이너스대출)'은(는) 인터넷을 통한 가입이 가능한 상품인가?</t>
        </is>
      </c>
      <c r="G154" s="2" t="inlineStr">
        <is>
          <t>boolean</t>
        </is>
      </c>
      <c r="H154" s="2" t="inlineStr">
        <is>
          <t>NO</t>
        </is>
      </c>
      <c r="I154" s="2" t="inlineStr"/>
      <c r="J154" s="2" t="inlineStr">
        <is>
          <t>금융감독원 금융상품통합비교공시 Open API (finlife.fss.or.kr), 202608</t>
        </is>
      </c>
      <c r="K154" s="2" t="inlineStr">
        <is>
          <t>농협은행주식회사:CR0001B:join_way</t>
        </is>
      </c>
      <c r="L154" s="2" t="inlineStr">
        <is>
          <t>영업점</t>
        </is>
      </c>
    </row>
    <row r="155">
      <c r="A155" s="2" t="inlineStr">
        <is>
          <t>PRD-0154</t>
        </is>
      </c>
      <c r="B155" s="2" t="inlineStr">
        <is>
          <t>공시형</t>
        </is>
      </c>
      <c r="C155" s="2" t="inlineStr">
        <is>
          <t>대출</t>
        </is>
      </c>
      <c r="D155" s="2" t="inlineStr">
        <is>
          <t>신용대출</t>
        </is>
      </c>
      <c r="E155" s="2" t="inlineStr">
        <is>
          <t>join_way</t>
        </is>
      </c>
      <c r="F155" s="2" t="inlineStr">
        <is>
          <t>농협은행주식회사 '장기카드대출'의 가입 경로에 영업점이 포함되는가?</t>
        </is>
      </c>
      <c r="G155" s="2" t="inlineStr">
        <is>
          <t>boolean</t>
        </is>
      </c>
      <c r="H155" s="2" t="inlineStr">
        <is>
          <t>YES</t>
        </is>
      </c>
      <c r="I155" s="2" t="inlineStr"/>
      <c r="J155" s="2" t="inlineStr">
        <is>
          <t>금융감독원 금융상품통합비교공시 Open API (finlife.fss.or.kr), 202608</t>
        </is>
      </c>
      <c r="K155" s="2" t="inlineStr">
        <is>
          <t>농협은행주식회사:WR0002F:join_way</t>
        </is>
      </c>
      <c r="L155" s="2" t="inlineStr">
        <is>
          <t>영업점,인터넷,스마트폰,전화(텔레뱅킹),기타</t>
        </is>
      </c>
    </row>
    <row r="156">
      <c r="A156" s="2" t="inlineStr">
        <is>
          <t>PRD-0155</t>
        </is>
      </c>
      <c r="B156" s="2" t="inlineStr">
        <is>
          <t>공시형</t>
        </is>
      </c>
      <c r="C156" s="2" t="inlineStr">
        <is>
          <t>대출</t>
        </is>
      </c>
      <c r="D156" s="2" t="inlineStr">
        <is>
          <t>신용대출</t>
        </is>
      </c>
      <c r="E156" s="2" t="inlineStr">
        <is>
          <t>join_way</t>
        </is>
      </c>
      <c r="F156" s="2" t="inlineStr">
        <is>
          <t>부산은행 'ONE신용대출(일반신용대출)'은(는) 영업점을 통한 가입이 가능한 상품인가?</t>
        </is>
      </c>
      <c r="G156" s="2" t="inlineStr">
        <is>
          <t>boolean</t>
        </is>
      </c>
      <c r="H156" s="2" t="inlineStr">
        <is>
          <t>YES</t>
        </is>
      </c>
      <c r="I156" s="2" t="inlineStr"/>
      <c r="J156" s="2" t="inlineStr">
        <is>
          <t>금융감독원 금융상품통합비교공시 Open API (finlife.fss.or.kr), 202608</t>
        </is>
      </c>
      <c r="K156" s="2" t="inlineStr">
        <is>
          <t>부산은행:1300:join_way</t>
        </is>
      </c>
      <c r="L156" s="2" t="inlineStr">
        <is>
          <t>영업점,스마트폰</t>
        </is>
      </c>
    </row>
    <row r="157">
      <c r="A157" s="2" t="inlineStr">
        <is>
          <t>PRD-0156</t>
        </is>
      </c>
      <c r="B157" s="2" t="inlineStr">
        <is>
          <t>공시형</t>
        </is>
      </c>
      <c r="C157" s="2" t="inlineStr">
        <is>
          <t>대출</t>
        </is>
      </c>
      <c r="D157" s="2" t="inlineStr">
        <is>
          <t>신용대출</t>
        </is>
      </c>
      <c r="E157" s="2" t="inlineStr">
        <is>
          <t>join_way</t>
        </is>
      </c>
      <c r="F157" s="2" t="inlineStr">
        <is>
          <t>부산은행 'ONE신용대출(일반신용대출)'의 가입 경로에 인터넷이 포함되는가?</t>
        </is>
      </c>
      <c r="G157" s="2" t="inlineStr">
        <is>
          <t>boolean</t>
        </is>
      </c>
      <c r="H157" s="2" t="inlineStr">
        <is>
          <t>NO</t>
        </is>
      </c>
      <c r="I157" s="2" t="inlineStr"/>
      <c r="J157" s="2" t="inlineStr">
        <is>
          <t>금융감독원 금융상품통합비교공시 Open API (finlife.fss.or.kr), 202608</t>
        </is>
      </c>
      <c r="K157" s="2" t="inlineStr">
        <is>
          <t>부산은행:1300:join_way</t>
        </is>
      </c>
      <c r="L157" s="2" t="inlineStr">
        <is>
          <t>영업점,스마트폰</t>
        </is>
      </c>
    </row>
    <row r="158">
      <c r="A158" s="2" t="inlineStr">
        <is>
          <t>PRD-0157</t>
        </is>
      </c>
      <c r="B158" s="2" t="inlineStr">
        <is>
          <t>공시형</t>
        </is>
      </c>
      <c r="C158" s="2" t="inlineStr">
        <is>
          <t>대출</t>
        </is>
      </c>
      <c r="D158" s="2" t="inlineStr">
        <is>
          <t>신용대출</t>
        </is>
      </c>
      <c r="E158" s="2" t="inlineStr">
        <is>
          <t>join_way</t>
        </is>
      </c>
      <c r="F158" s="2" t="inlineStr">
        <is>
          <t>부산은행 'ONE신용대출(마이너스한도대출)'은(는) 영업점을 통한 가입이 가능한 상품인가?</t>
        </is>
      </c>
      <c r="G158" s="2" t="inlineStr">
        <is>
          <t>boolean</t>
        </is>
      </c>
      <c r="H158" s="2" t="inlineStr">
        <is>
          <t>YES</t>
        </is>
      </c>
      <c r="I158" s="2" t="inlineStr"/>
      <c r="J158" s="2" t="inlineStr">
        <is>
          <t>금융감독원 금융상품통합비교공시 Open API (finlife.fss.or.kr), 202608</t>
        </is>
      </c>
      <c r="K158" s="2" t="inlineStr">
        <is>
          <t>부산은행:1301:join_way</t>
        </is>
      </c>
      <c r="L158" s="2" t="inlineStr">
        <is>
          <t>영업점,스마트폰</t>
        </is>
      </c>
    </row>
    <row r="159">
      <c r="A159" s="2" t="inlineStr">
        <is>
          <t>PRD-0158</t>
        </is>
      </c>
      <c r="B159" s="2" t="inlineStr">
        <is>
          <t>공시형</t>
        </is>
      </c>
      <c r="C159" s="2" t="inlineStr">
        <is>
          <t>대출</t>
        </is>
      </c>
      <c r="D159" s="2" t="inlineStr">
        <is>
          <t>신용대출</t>
        </is>
      </c>
      <c r="E159" s="2" t="inlineStr">
        <is>
          <t>join_way</t>
        </is>
      </c>
      <c r="F159" s="2" t="inlineStr">
        <is>
          <t>부산은행 'ONE신용대출(마이너스한도대출)'의 가입 경로에 인터넷이 포함되는가?</t>
        </is>
      </c>
      <c r="G159" s="2" t="inlineStr">
        <is>
          <t>boolean</t>
        </is>
      </c>
      <c r="H159" s="2" t="inlineStr">
        <is>
          <t>NO</t>
        </is>
      </c>
      <c r="I159" s="2" t="inlineStr"/>
      <c r="J159" s="2" t="inlineStr">
        <is>
          <t>금융감독원 금융상품통합비교공시 Open API (finlife.fss.or.kr), 202608</t>
        </is>
      </c>
      <c r="K159" s="2" t="inlineStr">
        <is>
          <t>부산은행:1301:join_way</t>
        </is>
      </c>
      <c r="L159" s="2" t="inlineStr">
        <is>
          <t>영업점,스마트폰</t>
        </is>
      </c>
    </row>
    <row r="160">
      <c r="A160" s="2" t="inlineStr">
        <is>
          <t>PRD-0159</t>
        </is>
      </c>
      <c r="B160" s="2" t="inlineStr">
        <is>
          <t>공시형</t>
        </is>
      </c>
      <c r="C160" s="2" t="inlineStr">
        <is>
          <t>대출</t>
        </is>
      </c>
      <c r="D160" s="2" t="inlineStr">
        <is>
          <t>신용대출</t>
        </is>
      </c>
      <c r="E160" s="2" t="inlineStr">
        <is>
          <t>join_way</t>
        </is>
      </c>
      <c r="F160" s="2" t="inlineStr">
        <is>
          <t>부산은행 '장기카드대출'의 가입 경로에 영업점이 포함되는가?</t>
        </is>
      </c>
      <c r="G160" s="2" t="inlineStr">
        <is>
          <t>boolean</t>
        </is>
      </c>
      <c r="H160" s="2" t="inlineStr">
        <is>
          <t>YES</t>
        </is>
      </c>
      <c r="I160" s="2" t="inlineStr"/>
      <c r="J160" s="2" t="inlineStr">
        <is>
          <t>금융감독원 금융상품통합비교공시 Open API (finlife.fss.or.kr), 202608</t>
        </is>
      </c>
      <c r="K160" s="2" t="inlineStr">
        <is>
          <t>부산은행:WR0002F:join_way</t>
        </is>
      </c>
      <c r="L160" s="2" t="inlineStr">
        <is>
          <t>영업점,인터넷,모집인</t>
        </is>
      </c>
    </row>
    <row r="161">
      <c r="A161" s="2" t="inlineStr">
        <is>
          <t>PRD-0160</t>
        </is>
      </c>
      <c r="B161" s="2" t="inlineStr">
        <is>
          <t>공시형</t>
        </is>
      </c>
      <c r="C161" s="2" t="inlineStr">
        <is>
          <t>대출</t>
        </is>
      </c>
      <c r="D161" s="2" t="inlineStr">
        <is>
          <t>신용대출</t>
        </is>
      </c>
      <c r="E161" s="2" t="inlineStr">
        <is>
          <t>join_way</t>
        </is>
      </c>
      <c r="F161" s="2" t="inlineStr">
        <is>
          <t>부산은행 '장기카드대출'은(는) 스마트폰 경로로 가입할 수 있는가?</t>
        </is>
      </c>
      <c r="G161" s="2" t="inlineStr">
        <is>
          <t>boolean</t>
        </is>
      </c>
      <c r="H161" s="2" t="inlineStr">
        <is>
          <t>NO</t>
        </is>
      </c>
      <c r="I161" s="2" t="inlineStr"/>
      <c r="J161" s="2" t="inlineStr">
        <is>
          <t>금융감독원 금융상품통합비교공시 Open API (finlife.fss.or.kr), 202608</t>
        </is>
      </c>
      <c r="K161" s="2" t="inlineStr">
        <is>
          <t>부산은행:WR0002F:join_way</t>
        </is>
      </c>
      <c r="L161" s="2" t="inlineStr">
        <is>
          <t>영업점,인터넷,모집인</t>
        </is>
      </c>
    </row>
    <row r="162">
      <c r="A162" s="2" t="inlineStr">
        <is>
          <t>PRD-0161</t>
        </is>
      </c>
      <c r="B162" s="2" t="inlineStr">
        <is>
          <t>공시형</t>
        </is>
      </c>
      <c r="C162" s="2" t="inlineStr">
        <is>
          <t>대출</t>
        </is>
      </c>
      <c r="D162" s="2" t="inlineStr">
        <is>
          <t>신용대출</t>
        </is>
      </c>
      <c r="E162" s="2" t="inlineStr">
        <is>
          <t>join_way</t>
        </is>
      </c>
      <c r="F162" s="2" t="inlineStr">
        <is>
          <t>영업점 채널을 통해 수협은행 '개인신용대출'에 가입할 수 있는가?</t>
        </is>
      </c>
      <c r="G162" s="2" t="inlineStr">
        <is>
          <t>boolean</t>
        </is>
      </c>
      <c r="H162" s="2" t="inlineStr">
        <is>
          <t>YES</t>
        </is>
      </c>
      <c r="I162" s="2" t="inlineStr"/>
      <c r="J162" s="2" t="inlineStr">
        <is>
          <t>금융감독원 금융상품통합비교공시 Open API (finlife.fss.or.kr), 202608</t>
        </is>
      </c>
      <c r="K162" s="2" t="inlineStr">
        <is>
          <t>수협은행:601:join_way</t>
        </is>
      </c>
      <c r="L162" s="2" t="inlineStr">
        <is>
          <t>영업점,인터넷,스마트폰</t>
        </is>
      </c>
    </row>
    <row r="163">
      <c r="A163" s="2" t="inlineStr">
        <is>
          <t>PRD-0162</t>
        </is>
      </c>
      <c r="B163" s="2" t="inlineStr">
        <is>
          <t>공시형</t>
        </is>
      </c>
      <c r="C163" s="2" t="inlineStr">
        <is>
          <t>대출</t>
        </is>
      </c>
      <c r="D163" s="2" t="inlineStr">
        <is>
          <t>신용대출</t>
        </is>
      </c>
      <c r="E163" s="2" t="inlineStr">
        <is>
          <t>join_way</t>
        </is>
      </c>
      <c r="F163" s="2" t="inlineStr">
        <is>
          <t>수협은행 '개인신용대출'의 가입 경로에 전화(텔레뱅킹)이(가) 포함되는가?</t>
        </is>
      </c>
      <c r="G163" s="2" t="inlineStr">
        <is>
          <t>boolean</t>
        </is>
      </c>
      <c r="H163" s="2" t="inlineStr">
        <is>
          <t>NO</t>
        </is>
      </c>
      <c r="I163" s="2" t="inlineStr"/>
      <c r="J163" s="2" t="inlineStr">
        <is>
          <t>금융감독원 금융상품통합비교공시 Open API (finlife.fss.or.kr), 202608</t>
        </is>
      </c>
      <c r="K163" s="2" t="inlineStr">
        <is>
          <t>수협은행:601:join_way</t>
        </is>
      </c>
      <c r="L163" s="2" t="inlineStr">
        <is>
          <t>영업점,인터넷,스마트폰</t>
        </is>
      </c>
    </row>
    <row r="164">
      <c r="A164" s="2" t="inlineStr">
        <is>
          <t>PRD-0163</t>
        </is>
      </c>
      <c r="B164" s="2" t="inlineStr">
        <is>
          <t>공시형</t>
        </is>
      </c>
      <c r="C164" s="2" t="inlineStr">
        <is>
          <t>대출</t>
        </is>
      </c>
      <c r="D164" s="2" t="inlineStr">
        <is>
          <t>신용대출</t>
        </is>
      </c>
      <c r="E164" s="2" t="inlineStr">
        <is>
          <t>join_way</t>
        </is>
      </c>
      <c r="F164" s="2" t="inlineStr">
        <is>
          <t>수협은행 '개인신용마이너스한도대출'은(는) 영업점을 통한 가입이 가능한 상품인가?</t>
        </is>
      </c>
      <c r="G164" s="2" t="inlineStr">
        <is>
          <t>boolean</t>
        </is>
      </c>
      <c r="H164" s="2" t="inlineStr">
        <is>
          <t>YES</t>
        </is>
      </c>
      <c r="I164" s="2" t="inlineStr"/>
      <c r="J164" s="2" t="inlineStr">
        <is>
          <t>금융감독원 금융상품통합비교공시 Open API (finlife.fss.or.kr), 202608</t>
        </is>
      </c>
      <c r="K164" s="2" t="inlineStr">
        <is>
          <t>수협은행:804:join_way</t>
        </is>
      </c>
      <c r="L164" s="2" t="inlineStr">
        <is>
          <t>영업점,인터넷,스마트폰</t>
        </is>
      </c>
    </row>
    <row r="165">
      <c r="A165" s="2" t="inlineStr">
        <is>
          <t>PRD-0164</t>
        </is>
      </c>
      <c r="B165" s="2" t="inlineStr">
        <is>
          <t>공시형</t>
        </is>
      </c>
      <c r="C165" s="2" t="inlineStr">
        <is>
          <t>대출</t>
        </is>
      </c>
      <c r="D165" s="2" t="inlineStr">
        <is>
          <t>신용대출</t>
        </is>
      </c>
      <c r="E165" s="2" t="inlineStr">
        <is>
          <t>join_way</t>
        </is>
      </c>
      <c r="F165" s="2" t="inlineStr">
        <is>
          <t>수협은행 '개인신용마이너스한도대출'은(는) 전화(텔레뱅킹) 경로로 가입할 수 있는가?</t>
        </is>
      </c>
      <c r="G165" s="2" t="inlineStr">
        <is>
          <t>boolean</t>
        </is>
      </c>
      <c r="H165" s="2" t="inlineStr">
        <is>
          <t>NO</t>
        </is>
      </c>
      <c r="I165" s="2" t="inlineStr"/>
      <c r="J165" s="2" t="inlineStr">
        <is>
          <t>금융감독원 금융상품통합비교공시 Open API (finlife.fss.or.kr), 202608</t>
        </is>
      </c>
      <c r="K165" s="2" t="inlineStr">
        <is>
          <t>수협은행:804:join_way</t>
        </is>
      </c>
      <c r="L165" s="2" t="inlineStr">
        <is>
          <t>영업점,인터넷,스마트폰</t>
        </is>
      </c>
    </row>
    <row r="166">
      <c r="A166" s="2" t="inlineStr">
        <is>
          <t>PRD-0165</t>
        </is>
      </c>
      <c r="B166" s="2" t="inlineStr">
        <is>
          <t>공시형</t>
        </is>
      </c>
      <c r="C166" s="2" t="inlineStr">
        <is>
          <t>대출</t>
        </is>
      </c>
      <c r="D166" s="2" t="inlineStr">
        <is>
          <t>신용대출</t>
        </is>
      </c>
      <c r="E166" s="2" t="inlineStr">
        <is>
          <t>join_way</t>
        </is>
      </c>
      <c r="F166" s="2" t="inlineStr">
        <is>
          <t>신한은행 '개인신용대출(일반신용대출)'은(는) 영업점을 통한 가입이 가능한 상품인가?</t>
        </is>
      </c>
      <c r="G166" s="2" t="inlineStr">
        <is>
          <t>boolean</t>
        </is>
      </c>
      <c r="H166" s="2" t="inlineStr">
        <is>
          <t>YES</t>
        </is>
      </c>
      <c r="I166" s="2" t="inlineStr"/>
      <c r="J166" s="2" t="inlineStr">
        <is>
          <t>금융감독원 금융상품통합비교공시 Open API (finlife.fss.or.kr), 202608</t>
        </is>
      </c>
      <c r="K166" s="2" t="inlineStr">
        <is>
          <t>신한은행:CR0001A:join_way</t>
        </is>
      </c>
      <c r="L166" s="2" t="inlineStr">
        <is>
          <t>영업점,인터넷,스마트폰</t>
        </is>
      </c>
    </row>
    <row r="167">
      <c r="A167" s="2" t="inlineStr">
        <is>
          <t>PRD-0166</t>
        </is>
      </c>
      <c r="B167" s="2" t="inlineStr">
        <is>
          <t>공시형</t>
        </is>
      </c>
      <c r="C167" s="2" t="inlineStr">
        <is>
          <t>대출</t>
        </is>
      </c>
      <c r="D167" s="2" t="inlineStr">
        <is>
          <t>신용대출</t>
        </is>
      </c>
      <c r="E167" s="2" t="inlineStr">
        <is>
          <t>join_way</t>
        </is>
      </c>
      <c r="F167" s="2" t="inlineStr">
        <is>
          <t>전화(텔레뱅킹) 채널을 통해 신한은행 '개인신용대출(일반신용대출)'에 가입할 수 있는가?</t>
        </is>
      </c>
      <c r="G167" s="2" t="inlineStr">
        <is>
          <t>boolean</t>
        </is>
      </c>
      <c r="H167" s="2" t="inlineStr">
        <is>
          <t>NO</t>
        </is>
      </c>
      <c r="I167" s="2" t="inlineStr"/>
      <c r="J167" s="2" t="inlineStr">
        <is>
          <t>금융감독원 금융상품통합비교공시 Open API (finlife.fss.or.kr), 202608</t>
        </is>
      </c>
      <c r="K167" s="2" t="inlineStr">
        <is>
          <t>신한은행:CR0001A:join_way</t>
        </is>
      </c>
      <c r="L167" s="2" t="inlineStr">
        <is>
          <t>영업점,인터넷,스마트폰</t>
        </is>
      </c>
    </row>
    <row r="168">
      <c r="A168" s="2" t="inlineStr">
        <is>
          <t>PRD-0167</t>
        </is>
      </c>
      <c r="B168" s="2" t="inlineStr">
        <is>
          <t>공시형</t>
        </is>
      </c>
      <c r="C168" s="2" t="inlineStr">
        <is>
          <t>대출</t>
        </is>
      </c>
      <c r="D168" s="2" t="inlineStr">
        <is>
          <t>신용대출</t>
        </is>
      </c>
      <c r="E168" s="2" t="inlineStr">
        <is>
          <t>join_way</t>
        </is>
      </c>
      <c r="F168" s="2" t="inlineStr">
        <is>
          <t>신한은행 '개인신용대출(마이너스한도대출)'의 가입 경로에 영업점이 포함되는가?</t>
        </is>
      </c>
      <c r="G168" s="2" t="inlineStr">
        <is>
          <t>boolean</t>
        </is>
      </c>
      <c r="H168" s="2" t="inlineStr">
        <is>
          <t>YES</t>
        </is>
      </c>
      <c r="I168" s="2" t="inlineStr"/>
      <c r="J168" s="2" t="inlineStr">
        <is>
          <t>금융감독원 금융상품통합비교공시 Open API (finlife.fss.or.kr), 202608</t>
        </is>
      </c>
      <c r="K168" s="2" t="inlineStr">
        <is>
          <t>신한은행:CR0001C:join_way</t>
        </is>
      </c>
      <c r="L168" s="2" t="inlineStr">
        <is>
          <t>영업점,인터넷,스마트폰</t>
        </is>
      </c>
    </row>
    <row r="169">
      <c r="A169" s="2" t="inlineStr">
        <is>
          <t>PRD-0168</t>
        </is>
      </c>
      <c r="B169" s="2" t="inlineStr">
        <is>
          <t>공시형</t>
        </is>
      </c>
      <c r="C169" s="2" t="inlineStr">
        <is>
          <t>대출</t>
        </is>
      </c>
      <c r="D169" s="2" t="inlineStr">
        <is>
          <t>신용대출</t>
        </is>
      </c>
      <c r="E169" s="2" t="inlineStr">
        <is>
          <t>join_way</t>
        </is>
      </c>
      <c r="F169" s="2" t="inlineStr">
        <is>
          <t>전화(텔레뱅킹) 채널을 통해 신한은행 '개인신용대출(마이너스한도대출)'에 가입할 수 있는가?</t>
        </is>
      </c>
      <c r="G169" s="2" t="inlineStr">
        <is>
          <t>boolean</t>
        </is>
      </c>
      <c r="H169" s="2" t="inlineStr">
        <is>
          <t>NO</t>
        </is>
      </c>
      <c r="I169" s="2" t="inlineStr"/>
      <c r="J169" s="2" t="inlineStr">
        <is>
          <t>금융감독원 금융상품통합비교공시 Open API (finlife.fss.or.kr), 202608</t>
        </is>
      </c>
      <c r="K169" s="2" t="inlineStr">
        <is>
          <t>신한은행:CR0001C:join_way</t>
        </is>
      </c>
      <c r="L169" s="2" t="inlineStr">
        <is>
          <t>영업점,인터넷,스마트폰</t>
        </is>
      </c>
    </row>
    <row r="170">
      <c r="A170" s="2" t="inlineStr">
        <is>
          <t>PRD-0169</t>
        </is>
      </c>
      <c r="B170" s="2" t="inlineStr">
        <is>
          <t>공시형</t>
        </is>
      </c>
      <c r="C170" s="2" t="inlineStr">
        <is>
          <t>대출</t>
        </is>
      </c>
      <c r="D170" s="2" t="inlineStr">
        <is>
          <t>신용대출</t>
        </is>
      </c>
      <c r="E170" s="2" t="inlineStr">
        <is>
          <t>join_way</t>
        </is>
      </c>
      <c r="F170" s="2" t="inlineStr">
        <is>
          <t>아이엠뱅크 '일반신용대출'의 가입 경로에 영업점이 포함되는가?</t>
        </is>
      </c>
      <c r="G170" s="2" t="inlineStr">
        <is>
          <t>boolean</t>
        </is>
      </c>
      <c r="H170" s="2" t="inlineStr">
        <is>
          <t>YES</t>
        </is>
      </c>
      <c r="I170" s="2" t="inlineStr"/>
      <c r="J170" s="2" t="inlineStr">
        <is>
          <t>금융감독원 금융상품통합비교공시 Open API (finlife.fss.or.kr), 202608</t>
        </is>
      </c>
      <c r="K170" s="2" t="inlineStr">
        <is>
          <t>아이엠뱅크:WR0001F:join_way</t>
        </is>
      </c>
      <c r="L170" s="2" t="inlineStr">
        <is>
          <t>영업점,스마트폰</t>
        </is>
      </c>
    </row>
    <row r="171">
      <c r="A171" s="2" t="inlineStr">
        <is>
          <t>PRD-0170</t>
        </is>
      </c>
      <c r="B171" s="2" t="inlineStr">
        <is>
          <t>공시형</t>
        </is>
      </c>
      <c r="C171" s="2" t="inlineStr">
        <is>
          <t>대출</t>
        </is>
      </c>
      <c r="D171" s="2" t="inlineStr">
        <is>
          <t>신용대출</t>
        </is>
      </c>
      <c r="E171" s="2" t="inlineStr">
        <is>
          <t>join_way</t>
        </is>
      </c>
      <c r="F171" s="2" t="inlineStr">
        <is>
          <t>아이엠뱅크 '일반신용대출'은(는) 인터넷을 통한 가입이 가능한 상품인가?</t>
        </is>
      </c>
      <c r="G171" s="2" t="inlineStr">
        <is>
          <t>boolean</t>
        </is>
      </c>
      <c r="H171" s="2" t="inlineStr">
        <is>
          <t>NO</t>
        </is>
      </c>
      <c r="I171" s="2" t="inlineStr"/>
      <c r="J171" s="2" t="inlineStr">
        <is>
          <t>금융감독원 금융상품통합비교공시 Open API (finlife.fss.or.kr), 202608</t>
        </is>
      </c>
      <c r="K171" s="2" t="inlineStr">
        <is>
          <t>아이엠뱅크:WR0001F:join_way</t>
        </is>
      </c>
      <c r="L171" s="2" t="inlineStr">
        <is>
          <t>영업점,스마트폰</t>
        </is>
      </c>
    </row>
    <row r="172">
      <c r="A172" s="2" t="inlineStr">
        <is>
          <t>PRD-0171</t>
        </is>
      </c>
      <c r="B172" s="2" t="inlineStr">
        <is>
          <t>공시형</t>
        </is>
      </c>
      <c r="C172" s="2" t="inlineStr">
        <is>
          <t>대출</t>
        </is>
      </c>
      <c r="D172" s="2" t="inlineStr">
        <is>
          <t>신용대출</t>
        </is>
      </c>
      <c r="E172" s="2" t="inlineStr">
        <is>
          <t>join_way</t>
        </is>
      </c>
      <c r="F172" s="2" t="inlineStr">
        <is>
          <t>아이엠뱅크 '마이너스한도대출'의 가입 경로에 영업점이 포함되는가?</t>
        </is>
      </c>
      <c r="G172" s="2" t="inlineStr">
        <is>
          <t>boolean</t>
        </is>
      </c>
      <c r="H172" s="2" t="inlineStr">
        <is>
          <t>YES</t>
        </is>
      </c>
      <c r="I172" s="2" t="inlineStr"/>
      <c r="J172" s="2" t="inlineStr">
        <is>
          <t>금융감독원 금융상품통합비교공시 Open API (finlife.fss.or.kr), 202608</t>
        </is>
      </c>
      <c r="K172" s="2" t="inlineStr">
        <is>
          <t>아이엠뱅크:WR0002F:join_way</t>
        </is>
      </c>
      <c r="L172" s="2" t="inlineStr">
        <is>
          <t>영업점,스마트폰</t>
        </is>
      </c>
    </row>
    <row r="173">
      <c r="A173" s="2" t="inlineStr">
        <is>
          <t>PRD-0172</t>
        </is>
      </c>
      <c r="B173" s="2" t="inlineStr">
        <is>
          <t>공시형</t>
        </is>
      </c>
      <c r="C173" s="2" t="inlineStr">
        <is>
          <t>대출</t>
        </is>
      </c>
      <c r="D173" s="2" t="inlineStr">
        <is>
          <t>신용대출</t>
        </is>
      </c>
      <c r="E173" s="2" t="inlineStr">
        <is>
          <t>join_way</t>
        </is>
      </c>
      <c r="F173" s="2" t="inlineStr">
        <is>
          <t>아이엠뱅크 '마이너스한도대출'은(는) 인터넷을 통한 가입이 가능한 상품인가?</t>
        </is>
      </c>
      <c r="G173" s="2" t="inlineStr">
        <is>
          <t>boolean</t>
        </is>
      </c>
      <c r="H173" s="2" t="inlineStr">
        <is>
          <t>NO</t>
        </is>
      </c>
      <c r="I173" s="2" t="inlineStr"/>
      <c r="J173" s="2" t="inlineStr">
        <is>
          <t>금융감독원 금융상품통합비교공시 Open API (finlife.fss.or.kr), 202608</t>
        </is>
      </c>
      <c r="K173" s="2" t="inlineStr">
        <is>
          <t>아이엠뱅크:WR0002F:join_way</t>
        </is>
      </c>
      <c r="L173" s="2" t="inlineStr">
        <is>
          <t>영업점,스마트폰</t>
        </is>
      </c>
    </row>
    <row r="174">
      <c r="A174" s="2" t="inlineStr">
        <is>
          <t>PRD-0173</t>
        </is>
      </c>
      <c r="B174" s="2" t="inlineStr">
        <is>
          <t>공시형</t>
        </is>
      </c>
      <c r="C174" s="2" t="inlineStr">
        <is>
          <t>대출</t>
        </is>
      </c>
      <c r="D174" s="2" t="inlineStr">
        <is>
          <t>신용대출</t>
        </is>
      </c>
      <c r="E174" s="2" t="inlineStr">
        <is>
          <t>join_way</t>
        </is>
      </c>
      <c r="F174" s="2" t="inlineStr">
        <is>
          <t>아이엠뱅크 '장기카드대출'은(는) 스마트폰 경로로 가입할 수 있는가?</t>
        </is>
      </c>
      <c r="G174" s="2" t="inlineStr">
        <is>
          <t>boolean</t>
        </is>
      </c>
      <c r="H174" s="2" t="inlineStr">
        <is>
          <t>YES</t>
        </is>
      </c>
      <c r="I174" s="2" t="inlineStr"/>
      <c r="J174" s="2" t="inlineStr">
        <is>
          <t>금융감독원 금융상품통합비교공시 Open API (finlife.fss.or.kr), 202608</t>
        </is>
      </c>
      <c r="K174" s="2" t="inlineStr">
        <is>
          <t>아이엠뱅크:WR0002F:join_way</t>
        </is>
      </c>
      <c r="L174" s="2" t="inlineStr">
        <is>
          <t>스마트폰,모집인</t>
        </is>
      </c>
    </row>
    <row r="175">
      <c r="A175" s="2" t="inlineStr">
        <is>
          <t>PRD-0174</t>
        </is>
      </c>
      <c r="B175" s="2" t="inlineStr">
        <is>
          <t>공시형</t>
        </is>
      </c>
      <c r="C175" s="2" t="inlineStr">
        <is>
          <t>대출</t>
        </is>
      </c>
      <c r="D175" s="2" t="inlineStr">
        <is>
          <t>신용대출</t>
        </is>
      </c>
      <c r="E175" s="2" t="inlineStr">
        <is>
          <t>join_way</t>
        </is>
      </c>
      <c r="F175" s="2" t="inlineStr">
        <is>
          <t>아이엠뱅크 '장기카드대출'의 가입 경로에 영업점이 포함되는가?</t>
        </is>
      </c>
      <c r="G175" s="2" t="inlineStr">
        <is>
          <t>boolean</t>
        </is>
      </c>
      <c r="H175" s="2" t="inlineStr">
        <is>
          <t>NO</t>
        </is>
      </c>
      <c r="I175" s="2" t="inlineStr"/>
      <c r="J175" s="2" t="inlineStr">
        <is>
          <t>금융감독원 금융상품통합비교공시 Open API (finlife.fss.or.kr), 202608</t>
        </is>
      </c>
      <c r="K175" s="2" t="inlineStr">
        <is>
          <t>아이엠뱅크:WR0002F:join_way</t>
        </is>
      </c>
      <c r="L175" s="2" t="inlineStr">
        <is>
          <t>스마트폰,모집인</t>
        </is>
      </c>
    </row>
    <row r="176">
      <c r="A176" s="2" t="inlineStr">
        <is>
          <t>PRD-0175</t>
        </is>
      </c>
      <c r="B176" s="2" t="inlineStr">
        <is>
          <t>공시형</t>
        </is>
      </c>
      <c r="C176" s="2" t="inlineStr">
        <is>
          <t>예금</t>
        </is>
      </c>
      <c r="D176" s="2" t="inlineStr">
        <is>
          <t>정기예금</t>
        </is>
      </c>
      <c r="E176" s="2" t="inlineStr">
        <is>
          <t>age_condition</t>
        </is>
      </c>
      <c r="F176" s="2" t="inlineStr">
        <is>
          <t>광주은행 '미즈월복리정기예금'은(는) 만 21세 개인이 가입할 수 있는 연령 요건인가? (연령 외 요건은 충족 가정)</t>
        </is>
      </c>
      <c r="G176" s="2" t="inlineStr">
        <is>
          <t>boolean</t>
        </is>
      </c>
      <c r="H176" s="2" t="inlineStr">
        <is>
          <t>YES</t>
        </is>
      </c>
      <c r="I176" s="2" t="inlineStr"/>
      <c r="J176" s="2" t="inlineStr">
        <is>
          <t>금융감독원 금융상품통합비교공시 Open API (finlife.fss.or.kr), 202608</t>
        </is>
      </c>
      <c r="K176" s="2" t="inlineStr">
        <is>
          <t>광주은행:TD11300027000:join_member</t>
        </is>
      </c>
      <c r="L176" s="2" t="inlineStr">
        <is>
          <t>만18세이상 여성으로 실명의 개인 및 개인사업자</t>
        </is>
      </c>
    </row>
    <row r="177">
      <c r="A177" s="2" t="inlineStr">
        <is>
          <t>PRD-0176</t>
        </is>
      </c>
      <c r="B177" s="2" t="inlineStr">
        <is>
          <t>공시형</t>
        </is>
      </c>
      <c r="C177" s="2" t="inlineStr">
        <is>
          <t>예금</t>
        </is>
      </c>
      <c r="D177" s="2" t="inlineStr">
        <is>
          <t>정기예금</t>
        </is>
      </c>
      <c r="E177" s="2" t="inlineStr">
        <is>
          <t>age_condition</t>
        </is>
      </c>
      <c r="F177" s="2" t="inlineStr">
        <is>
          <t>광주은행 '미즈월복리정기예금'은(는) 만 15세 개인이 가입할 수 있는 연령 요건인가? (연령 외 요건은 충족 가정)</t>
        </is>
      </c>
      <c r="G177" s="2" t="inlineStr">
        <is>
          <t>boolean</t>
        </is>
      </c>
      <c r="H177" s="2" t="inlineStr">
        <is>
          <t>NO</t>
        </is>
      </c>
      <c r="I177" s="2" t="inlineStr"/>
      <c r="J177" s="2" t="inlineStr">
        <is>
          <t>금융감독원 금융상품통합비교공시 Open API (finlife.fss.or.kr), 202608</t>
        </is>
      </c>
      <c r="K177" s="2" t="inlineStr">
        <is>
          <t>광주은행:TD11300027000:join_member</t>
        </is>
      </c>
      <c r="L177" s="2" t="inlineStr">
        <is>
          <t>만18세이상 여성으로 실명의 개인 및 개인사업자</t>
        </is>
      </c>
    </row>
    <row r="178">
      <c r="A178" s="2" t="inlineStr">
        <is>
          <t>PRD-0177</t>
        </is>
      </c>
      <c r="B178" s="2" t="inlineStr">
        <is>
          <t>공시형</t>
        </is>
      </c>
      <c r="C178" s="2" t="inlineStr">
        <is>
          <t>예금</t>
        </is>
      </c>
      <c r="D178" s="2" t="inlineStr">
        <is>
          <t>정기예금</t>
        </is>
      </c>
      <c r="E178" s="2" t="inlineStr">
        <is>
          <t>age_condition</t>
        </is>
      </c>
      <c r="F178" s="2" t="inlineStr">
        <is>
          <t>만 17세인 개인이 신한은행 '쏠편한 정기예금'의 가입 연령 요건(연령 외 요건은 충족 가정)을 충족하는가?</t>
        </is>
      </c>
      <c r="G178" s="2" t="inlineStr">
        <is>
          <t>boolean</t>
        </is>
      </c>
      <c r="H178" s="2" t="inlineStr">
        <is>
          <t>YES</t>
        </is>
      </c>
      <c r="I178" s="2" t="inlineStr"/>
      <c r="J178" s="2" t="inlineStr">
        <is>
          <t>금융감독원 금융상품통합비교공시 Open API (finlife.fss.or.kr), 202608</t>
        </is>
      </c>
      <c r="K178" s="2" t="inlineStr">
        <is>
          <t>신한은행:207-0135-12:join_member</t>
        </is>
      </c>
      <c r="L178" s="2" t="inlineStr">
        <is>
          <t>만14세이상 개인고객</t>
        </is>
      </c>
    </row>
    <row r="179">
      <c r="A179" s="2" t="inlineStr">
        <is>
          <t>PRD-0178</t>
        </is>
      </c>
      <c r="B179" s="2" t="inlineStr">
        <is>
          <t>공시형</t>
        </is>
      </c>
      <c r="C179" s="2" t="inlineStr">
        <is>
          <t>예금</t>
        </is>
      </c>
      <c r="D179" s="2" t="inlineStr">
        <is>
          <t>정기예금</t>
        </is>
      </c>
      <c r="E179" s="2" t="inlineStr">
        <is>
          <t>age_condition</t>
        </is>
      </c>
      <c r="F179" s="2" t="inlineStr">
        <is>
          <t>신한은행 '쏠편한 정기예금'은(는) 만 11세 개인이 가입할 수 있는 연령 요건인가? (연령 외 요건은 충족 가정)</t>
        </is>
      </c>
      <c r="G179" s="2" t="inlineStr">
        <is>
          <t>boolean</t>
        </is>
      </c>
      <c r="H179" s="2" t="inlineStr">
        <is>
          <t>NO</t>
        </is>
      </c>
      <c r="I179" s="2" t="inlineStr"/>
      <c r="J179" s="2" t="inlineStr">
        <is>
          <t>금융감독원 금융상품통합비교공시 Open API (finlife.fss.or.kr), 202608</t>
        </is>
      </c>
      <c r="K179" s="2" t="inlineStr">
        <is>
          <t>신한은행:207-0135-12:join_member</t>
        </is>
      </c>
      <c r="L179" s="2" t="inlineStr">
        <is>
          <t>만14세이상 개인고객</t>
        </is>
      </c>
    </row>
    <row r="180">
      <c r="A180" s="2" t="inlineStr">
        <is>
          <t>PRD-0179</t>
        </is>
      </c>
      <c r="B180" s="2" t="inlineStr">
        <is>
          <t>공시형</t>
        </is>
      </c>
      <c r="C180" s="2" t="inlineStr">
        <is>
          <t>예금</t>
        </is>
      </c>
      <c r="D180" s="2" t="inlineStr">
        <is>
          <t>정기예금</t>
        </is>
      </c>
      <c r="E180" s="2" t="inlineStr">
        <is>
          <t>age_condition</t>
        </is>
      </c>
      <c r="F180" s="2" t="inlineStr">
        <is>
          <t>주식회사 카카오뱅크 '카카오뱅크 정기예금'은(는) 만 17세 개인이 가입할 수 있는 연령 요건인가? (연령 외 요건은 충족 가정)</t>
        </is>
      </c>
      <c r="G180" s="2" t="inlineStr">
        <is>
          <t>boolean</t>
        </is>
      </c>
      <c r="H180" s="2" t="inlineStr">
        <is>
          <t>YES</t>
        </is>
      </c>
      <c r="I180" s="2" t="inlineStr"/>
      <c r="J180" s="2" t="inlineStr">
        <is>
          <t>금융감독원 금융상품통합비교공시 Open API (finlife.fss.or.kr), 202608</t>
        </is>
      </c>
      <c r="K180" s="2" t="inlineStr">
        <is>
          <t>주식회사 카카오뱅크:10-01-20-388-0002:join_member</t>
        </is>
      </c>
      <c r="L180" s="2" t="inlineStr">
        <is>
          <t>만 14세 이상의 실명의 개인</t>
        </is>
      </c>
    </row>
    <row r="181">
      <c r="A181" s="2" t="inlineStr">
        <is>
          <t>PRD-0180</t>
        </is>
      </c>
      <c r="B181" s="2" t="inlineStr">
        <is>
          <t>공시형</t>
        </is>
      </c>
      <c r="C181" s="2" t="inlineStr">
        <is>
          <t>예금</t>
        </is>
      </c>
      <c r="D181" s="2" t="inlineStr">
        <is>
          <t>정기예금</t>
        </is>
      </c>
      <c r="E181" s="2" t="inlineStr">
        <is>
          <t>age_condition</t>
        </is>
      </c>
      <c r="F181" s="2" t="inlineStr">
        <is>
          <t>연령 요건만 볼 때, 만 11세가 주식회사 카카오뱅크 '카카오뱅크 정기예금'에 가입 가능한가? (그 외 요건은 충족 가정)</t>
        </is>
      </c>
      <c r="G181" s="2" t="inlineStr">
        <is>
          <t>boolean</t>
        </is>
      </c>
      <c r="H181" s="2" t="inlineStr">
        <is>
          <t>NO</t>
        </is>
      </c>
      <c r="I181" s="2" t="inlineStr"/>
      <c r="J181" s="2" t="inlineStr">
        <is>
          <t>금융감독원 금융상품통합비교공시 Open API (finlife.fss.or.kr), 202608</t>
        </is>
      </c>
      <c r="K181" s="2" t="inlineStr">
        <is>
          <t>주식회사 카카오뱅크:10-01-20-388-0002:join_member</t>
        </is>
      </c>
      <c r="L181" s="2" t="inlineStr">
        <is>
          <t>만 14세 이상의 실명의 개인</t>
        </is>
      </c>
    </row>
    <row r="182">
      <c r="A182" s="2" t="inlineStr">
        <is>
          <t>PRD-0181</t>
        </is>
      </c>
      <c r="B182" s="2" t="inlineStr">
        <is>
          <t>공시형</t>
        </is>
      </c>
      <c r="C182" s="2" t="inlineStr">
        <is>
          <t>예금</t>
        </is>
      </c>
      <c r="D182" s="2" t="inlineStr">
        <is>
          <t>정기예금</t>
        </is>
      </c>
      <c r="E182" s="2" t="inlineStr">
        <is>
          <t>age_condition</t>
        </is>
      </c>
      <c r="F182" s="2" t="inlineStr">
        <is>
          <t>만 20세인 개인이 주식회사 케이뱅크 '코드K 정기예금'의 가입 연령 요건(연령 외 요건은 충족 가정)을 충족하는가?</t>
        </is>
      </c>
      <c r="G182" s="2" t="inlineStr">
        <is>
          <t>boolean</t>
        </is>
      </c>
      <c r="H182" s="2" t="inlineStr">
        <is>
          <t>YES</t>
        </is>
      </c>
      <c r="I182" s="2" t="inlineStr"/>
      <c r="J182" s="2" t="inlineStr">
        <is>
          <t>금융감독원 금융상품통합비교공시 Open API (finlife.fss.or.kr), 202608</t>
        </is>
      </c>
      <c r="K182" s="2" t="inlineStr">
        <is>
          <t>주식회사 케이뱅크:01013000110000000001:join_member</t>
        </is>
      </c>
      <c r="L182" s="2" t="inlineStr">
        <is>
          <t>만 17세 이상 실명의 개인 및 개인사업자</t>
        </is>
      </c>
    </row>
    <row r="183">
      <c r="A183" s="2" t="inlineStr">
        <is>
          <t>PRD-0182</t>
        </is>
      </c>
      <c r="B183" s="2" t="inlineStr">
        <is>
          <t>공시형</t>
        </is>
      </c>
      <c r="C183" s="2" t="inlineStr">
        <is>
          <t>예금</t>
        </is>
      </c>
      <c r="D183" s="2" t="inlineStr">
        <is>
          <t>정기예금</t>
        </is>
      </c>
      <c r="E183" s="2" t="inlineStr">
        <is>
          <t>age_condition</t>
        </is>
      </c>
      <c r="F183" s="2" t="inlineStr">
        <is>
          <t>주식회사 케이뱅크 '코드K 정기예금'은(는) 만 14세 개인이 가입할 수 있는 연령 요건인가? (연령 외 요건은 충족 가정)</t>
        </is>
      </c>
      <c r="G183" s="2" t="inlineStr">
        <is>
          <t>boolean</t>
        </is>
      </c>
      <c r="H183" s="2" t="inlineStr">
        <is>
          <t>NO</t>
        </is>
      </c>
      <c r="I183" s="2" t="inlineStr"/>
      <c r="J183" s="2" t="inlineStr">
        <is>
          <t>금융감독원 금융상품통합비교공시 Open API (finlife.fss.or.kr), 202608</t>
        </is>
      </c>
      <c r="K183" s="2" t="inlineStr">
        <is>
          <t>주식회사 케이뱅크:01013000110000000001:join_member</t>
        </is>
      </c>
      <c r="L183" s="2" t="inlineStr">
        <is>
          <t>만 17세 이상 실명의 개인 및 개인사업자</t>
        </is>
      </c>
    </row>
    <row r="184">
      <c r="A184" s="2" t="inlineStr">
        <is>
          <t>PRD-0183</t>
        </is>
      </c>
      <c r="B184" s="2" t="inlineStr">
        <is>
          <t>공시형</t>
        </is>
      </c>
      <c r="C184" s="2" t="inlineStr">
        <is>
          <t>예금</t>
        </is>
      </c>
      <c r="D184" s="2" t="inlineStr">
        <is>
          <t>정기예금</t>
        </is>
      </c>
      <c r="E184" s="2" t="inlineStr">
        <is>
          <t>age_condition</t>
        </is>
      </c>
      <c r="F184" s="2" t="inlineStr">
        <is>
          <t>토스뱅크 주식회사 '토스뱅크 먼저 이자 받는 정기예금'은(는) 만 20세 개인이 가입할 수 있는 연령 요건인가? (연령 외 요건은 충족 가정)</t>
        </is>
      </c>
      <c r="G184" s="2" t="inlineStr">
        <is>
          <t>boolean</t>
        </is>
      </c>
      <c r="H184" s="2" t="inlineStr">
        <is>
          <t>YES</t>
        </is>
      </c>
      <c r="I184" s="2" t="inlineStr"/>
      <c r="J184" s="2" t="inlineStr">
        <is>
          <t>금융감독원 금융상품통합비교공시 Open API (finlife.fss.or.kr), 202608</t>
        </is>
      </c>
      <c r="K184" s="2" t="inlineStr">
        <is>
          <t>토스뱅크 주식회사:1001202000002:join_member</t>
        </is>
      </c>
      <c r="L184" s="2" t="inlineStr">
        <is>
          <t>토스뱅크 통장 또는 토스뱅크 서브 통장을 보유한 만 17세 이상 실명의 개인</t>
        </is>
      </c>
    </row>
    <row r="185">
      <c r="A185" s="2" t="inlineStr">
        <is>
          <t>PRD-0184</t>
        </is>
      </c>
      <c r="B185" s="2" t="inlineStr">
        <is>
          <t>공시형</t>
        </is>
      </c>
      <c r="C185" s="2" t="inlineStr">
        <is>
          <t>예금</t>
        </is>
      </c>
      <c r="D185" s="2" t="inlineStr">
        <is>
          <t>정기예금</t>
        </is>
      </c>
      <c r="E185" s="2" t="inlineStr">
        <is>
          <t>age_condition</t>
        </is>
      </c>
      <c r="F185" s="2" t="inlineStr">
        <is>
          <t>만 14세인 개인이 토스뱅크 주식회사 '토스뱅크 먼저 이자 받는 정기예금'의 가입 연령 요건(연령 외 요건은 충족 가정)을 충족하는가?</t>
        </is>
      </c>
      <c r="G185" s="2" t="inlineStr">
        <is>
          <t>boolean</t>
        </is>
      </c>
      <c r="H185" s="2" t="inlineStr">
        <is>
          <t>NO</t>
        </is>
      </c>
      <c r="I185" s="2" t="inlineStr"/>
      <c r="J185" s="2" t="inlineStr">
        <is>
          <t>금융감독원 금융상품통합비교공시 Open API (finlife.fss.or.kr), 202608</t>
        </is>
      </c>
      <c r="K185" s="2" t="inlineStr">
        <is>
          <t>토스뱅크 주식회사:1001202000002:join_member</t>
        </is>
      </c>
      <c r="L185" s="2" t="inlineStr">
        <is>
          <t>토스뱅크 통장 또는 토스뱅크 서브 통장을 보유한 만 17세 이상 실명의 개인</t>
        </is>
      </c>
    </row>
    <row r="186">
      <c r="A186" s="2" t="inlineStr">
        <is>
          <t>PRD-0185</t>
        </is>
      </c>
      <c r="B186" s="2" t="inlineStr">
        <is>
          <t>공시형</t>
        </is>
      </c>
      <c r="C186" s="2" t="inlineStr">
        <is>
          <t>예금</t>
        </is>
      </c>
      <c r="D186" s="2" t="inlineStr">
        <is>
          <t>적금</t>
        </is>
      </c>
      <c r="E186" s="2" t="inlineStr">
        <is>
          <t>age_condition</t>
        </is>
      </c>
      <c r="F186" s="2" t="inlineStr">
        <is>
          <t>연령 요건만 볼 때, 만 17세가 광주은행 '여행스케치_남도투어적금'에 가입 가능한가? (그 외 요건은 충족 가정)</t>
        </is>
      </c>
      <c r="G186" s="2" t="inlineStr">
        <is>
          <t>boolean</t>
        </is>
      </c>
      <c r="H186" s="2" t="inlineStr">
        <is>
          <t>YES</t>
        </is>
      </c>
      <c r="I186" s="2" t="inlineStr"/>
      <c r="J186" s="2" t="inlineStr">
        <is>
          <t>금융감독원 금융상품통합비교공시 Open API (finlife.fss.or.kr), 202608</t>
        </is>
      </c>
      <c r="K186" s="2" t="inlineStr">
        <is>
          <t>광주은행:TD11330030000:join_member</t>
        </is>
      </c>
      <c r="L186" s="2" t="inlineStr">
        <is>
          <t>만14세이상 개인 및 개인사업자</t>
        </is>
      </c>
    </row>
    <row r="187">
      <c r="A187" s="2" t="inlineStr">
        <is>
          <t>PRD-0186</t>
        </is>
      </c>
      <c r="B187" s="2" t="inlineStr">
        <is>
          <t>공시형</t>
        </is>
      </c>
      <c r="C187" s="2" t="inlineStr">
        <is>
          <t>예금</t>
        </is>
      </c>
      <c r="D187" s="2" t="inlineStr">
        <is>
          <t>적금</t>
        </is>
      </c>
      <c r="E187" s="2" t="inlineStr">
        <is>
          <t>age_condition</t>
        </is>
      </c>
      <c r="F187" s="2" t="inlineStr">
        <is>
          <t>만 11세인 개인이 광주은행 '여행스케치_남도투어적금'의 가입 연령 요건(연령 외 요건은 충족 가정)을 충족하는가?</t>
        </is>
      </c>
      <c r="G187" s="2" t="inlineStr">
        <is>
          <t>boolean</t>
        </is>
      </c>
      <c r="H187" s="2" t="inlineStr">
        <is>
          <t>NO</t>
        </is>
      </c>
      <c r="I187" s="2" t="inlineStr"/>
      <c r="J187" s="2" t="inlineStr">
        <is>
          <t>금융감독원 금융상품통합비교공시 Open API (finlife.fss.or.kr), 202608</t>
        </is>
      </c>
      <c r="K187" s="2" t="inlineStr">
        <is>
          <t>광주은행:TD11330030000:join_member</t>
        </is>
      </c>
      <c r="L187" s="2" t="inlineStr">
        <is>
          <t>만14세이상 개인 및 개인사업자</t>
        </is>
      </c>
    </row>
    <row r="188">
      <c r="A188" s="2" t="inlineStr">
        <is>
          <t>PRD-0187</t>
        </is>
      </c>
      <c r="B188" s="2" t="inlineStr">
        <is>
          <t>공시형</t>
        </is>
      </c>
      <c r="C188" s="2" t="inlineStr">
        <is>
          <t>예금</t>
        </is>
      </c>
      <c r="D188" s="2" t="inlineStr">
        <is>
          <t>적금</t>
        </is>
      </c>
      <c r="E188" s="2" t="inlineStr">
        <is>
          <t>age_condition</t>
        </is>
      </c>
      <c r="F188" s="2" t="inlineStr">
        <is>
          <t>농협은행주식회사 'NH직장인월복리적금'은(는) 만 21세 개인이 가입할 수 있는 연령 요건인가? (연령 외 요건은 충족 가정)</t>
        </is>
      </c>
      <c r="G188" s="2" t="inlineStr">
        <is>
          <t>boolean</t>
        </is>
      </c>
      <c r="H188" s="2" t="inlineStr">
        <is>
          <t>YES</t>
        </is>
      </c>
      <c r="I188" s="2" t="inlineStr"/>
      <c r="J188" s="2" t="inlineStr">
        <is>
          <t>금융감독원 금융상품통합비교공시 Open API (finlife.fss.or.kr), 202608</t>
        </is>
      </c>
      <c r="K188" s="2" t="inlineStr">
        <is>
          <t>농협은행주식회사:10-059-1264-0001:join_member</t>
        </is>
      </c>
      <c r="L188" s="2" t="inlineStr">
        <is>
          <t>만18세이상 개인</t>
        </is>
      </c>
    </row>
    <row r="189">
      <c r="A189" s="2" t="inlineStr">
        <is>
          <t>PRD-0188</t>
        </is>
      </c>
      <c r="B189" s="2" t="inlineStr">
        <is>
          <t>공시형</t>
        </is>
      </c>
      <c r="C189" s="2" t="inlineStr">
        <is>
          <t>예금</t>
        </is>
      </c>
      <c r="D189" s="2" t="inlineStr">
        <is>
          <t>적금</t>
        </is>
      </c>
      <c r="E189" s="2" t="inlineStr">
        <is>
          <t>age_condition</t>
        </is>
      </c>
      <c r="F189" s="2" t="inlineStr">
        <is>
          <t>농협은행주식회사 'NH직장인월복리적금'은(는) 만 15세 개인이 가입할 수 있는 연령 요건인가? (연령 외 요건은 충족 가정)</t>
        </is>
      </c>
      <c r="G189" s="2" t="inlineStr">
        <is>
          <t>boolean</t>
        </is>
      </c>
      <c r="H189" s="2" t="inlineStr">
        <is>
          <t>NO</t>
        </is>
      </c>
      <c r="I189" s="2" t="inlineStr"/>
      <c r="J189" s="2" t="inlineStr">
        <is>
          <t>금융감독원 금융상품통합비교공시 Open API (finlife.fss.or.kr), 202608</t>
        </is>
      </c>
      <c r="K189" s="2" t="inlineStr">
        <is>
          <t>농협은행주식회사:10-059-1264-0001:join_member</t>
        </is>
      </c>
      <c r="L189" s="2" t="inlineStr">
        <is>
          <t>만18세이상 개인</t>
        </is>
      </c>
    </row>
    <row r="190">
      <c r="A190" s="2" t="inlineStr">
        <is>
          <t>PRD-0189</t>
        </is>
      </c>
      <c r="B190" s="2" t="inlineStr">
        <is>
          <t>공시형</t>
        </is>
      </c>
      <c r="C190" s="2" t="inlineStr">
        <is>
          <t>예금</t>
        </is>
      </c>
      <c r="D190" s="2" t="inlineStr">
        <is>
          <t>적금</t>
        </is>
      </c>
      <c r="E190" s="2" t="inlineStr">
        <is>
          <t>age_condition</t>
        </is>
      </c>
      <c r="F190" s="2" t="inlineStr">
        <is>
          <t>연령 요건만 볼 때, 만 17세가 부산은행 '부산이라 좋다 Big적금'에 가입 가능한가? (그 외 요건은 충족 가정)</t>
        </is>
      </c>
      <c r="G190" s="2" t="inlineStr">
        <is>
          <t>boolean</t>
        </is>
      </c>
      <c r="H190" s="2" t="inlineStr">
        <is>
          <t>YES</t>
        </is>
      </c>
      <c r="I190" s="2" t="inlineStr"/>
      <c r="J190" s="2" t="inlineStr">
        <is>
          <t>금융감독원 금융상품통합비교공시 Open API (finlife.fss.or.kr), 202608</t>
        </is>
      </c>
      <c r="K190" s="2" t="inlineStr">
        <is>
          <t>부산은행:01020400660001:join_member</t>
        </is>
      </c>
      <c r="L190" s="2" t="inlineStr">
        <is>
          <t>만 14세이상 실명의 개인고객(1인 1계좌)</t>
        </is>
      </c>
    </row>
    <row r="191">
      <c r="A191" s="2" t="inlineStr">
        <is>
          <t>PRD-0190</t>
        </is>
      </c>
      <c r="B191" s="2" t="inlineStr">
        <is>
          <t>공시형</t>
        </is>
      </c>
      <c r="C191" s="2" t="inlineStr">
        <is>
          <t>예금</t>
        </is>
      </c>
      <c r="D191" s="2" t="inlineStr">
        <is>
          <t>적금</t>
        </is>
      </c>
      <c r="E191" s="2" t="inlineStr">
        <is>
          <t>age_condition</t>
        </is>
      </c>
      <c r="F191" s="2" t="inlineStr">
        <is>
          <t>만 11세인 개인이 부산은행 '부산이라 좋다 Big적금'의 가입 연령 요건(연령 외 요건은 충족 가정)을 충족하는가?</t>
        </is>
      </c>
      <c r="G191" s="2" t="inlineStr">
        <is>
          <t>boolean</t>
        </is>
      </c>
      <c r="H191" s="2" t="inlineStr">
        <is>
          <t>NO</t>
        </is>
      </c>
      <c r="I191" s="2" t="inlineStr"/>
      <c r="J191" s="2" t="inlineStr">
        <is>
          <t>금융감독원 금융상품통합비교공시 Open API (finlife.fss.or.kr), 202608</t>
        </is>
      </c>
      <c r="K191" s="2" t="inlineStr">
        <is>
          <t>부산은행:01020400660001:join_member</t>
        </is>
      </c>
      <c r="L191" s="2" t="inlineStr">
        <is>
          <t>만 14세이상 실명의 개인고객(1인 1계좌)</t>
        </is>
      </c>
    </row>
    <row r="192">
      <c r="A192" s="2" t="inlineStr">
        <is>
          <t>PRD-0191</t>
        </is>
      </c>
      <c r="B192" s="2" t="inlineStr">
        <is>
          <t>공시형</t>
        </is>
      </c>
      <c r="C192" s="2" t="inlineStr">
        <is>
          <t>예금</t>
        </is>
      </c>
      <c r="D192" s="2" t="inlineStr">
        <is>
          <t>적금</t>
        </is>
      </c>
      <c r="E192" s="2" t="inlineStr">
        <is>
          <t>age_condition</t>
        </is>
      </c>
      <c r="F192" s="2" t="inlineStr">
        <is>
          <t>연령 요건만 볼 때, 만 17세가 부산은행 'Only One 주거래 우대적금'에 가입 가능한가? (그 외 요건은 충족 가정)</t>
        </is>
      </c>
      <c r="G192" s="2" t="inlineStr">
        <is>
          <t>boolean</t>
        </is>
      </c>
      <c r="H192" s="2" t="inlineStr">
        <is>
          <t>YES</t>
        </is>
      </c>
      <c r="I192" s="2" t="inlineStr"/>
      <c r="J192" s="2" t="inlineStr">
        <is>
          <t>금융감독원 금융상품통합비교공시 Open API (finlife.fss.or.kr), 202608</t>
        </is>
      </c>
      <c r="K192" s="2" t="inlineStr">
        <is>
          <t>부산은행:01020400700001:join_member</t>
        </is>
      </c>
      <c r="L192" s="2" t="inlineStr">
        <is>
          <t>만14세 이상 실명의 개인(1인 1계좌)</t>
        </is>
      </c>
    </row>
    <row r="193">
      <c r="A193" s="2" t="inlineStr">
        <is>
          <t>PRD-0192</t>
        </is>
      </c>
      <c r="B193" s="2" t="inlineStr">
        <is>
          <t>공시형</t>
        </is>
      </c>
      <c r="C193" s="2" t="inlineStr">
        <is>
          <t>예금</t>
        </is>
      </c>
      <c r="D193" s="2" t="inlineStr">
        <is>
          <t>적금</t>
        </is>
      </c>
      <c r="E193" s="2" t="inlineStr">
        <is>
          <t>age_condition</t>
        </is>
      </c>
      <c r="F193" s="2" t="inlineStr">
        <is>
          <t>부산은행 'Only One 주거래 우대적금'은(는) 만 11세 개인이 가입할 수 있는 연령 요건인가? (연령 외 요건은 충족 가정)</t>
        </is>
      </c>
      <c r="G193" s="2" t="inlineStr">
        <is>
          <t>boolean</t>
        </is>
      </c>
      <c r="H193" s="2" t="inlineStr">
        <is>
          <t>NO</t>
        </is>
      </c>
      <c r="I193" s="2" t="inlineStr"/>
      <c r="J193" s="2" t="inlineStr">
        <is>
          <t>금융감독원 금융상품통합비교공시 Open API (finlife.fss.or.kr), 202608</t>
        </is>
      </c>
      <c r="K193" s="2" t="inlineStr">
        <is>
          <t>부산은행:01020400700001:join_member</t>
        </is>
      </c>
      <c r="L193" s="2" t="inlineStr">
        <is>
          <t>만14세 이상 실명의 개인(1인 1계좌)</t>
        </is>
      </c>
    </row>
    <row r="194">
      <c r="A194" s="2" t="inlineStr">
        <is>
          <t>PRD-0193</t>
        </is>
      </c>
      <c r="B194" s="2" t="inlineStr">
        <is>
          <t>공시형</t>
        </is>
      </c>
      <c r="C194" s="2" t="inlineStr">
        <is>
          <t>예금</t>
        </is>
      </c>
      <c r="D194" s="2" t="inlineStr">
        <is>
          <t>적금</t>
        </is>
      </c>
      <c r="E194" s="2" t="inlineStr">
        <is>
          <t>age_condition</t>
        </is>
      </c>
      <c r="F194" s="2" t="inlineStr">
        <is>
          <t>주식회사 카카오뱅크 '카카오뱅크 자유적금'은(는) 만 17세 개인이 가입할 수 있는 연령 요건인가? (연령 외 요건은 충족 가정)</t>
        </is>
      </c>
      <c r="G194" s="2" t="inlineStr">
        <is>
          <t>boolean</t>
        </is>
      </c>
      <c r="H194" s="2" t="inlineStr">
        <is>
          <t>YES</t>
        </is>
      </c>
      <c r="I194" s="2" t="inlineStr"/>
      <c r="J194" s="2" t="inlineStr">
        <is>
          <t>금융감독원 금융상품통합비교공시 Open API (finlife.fss.or.kr), 202608</t>
        </is>
      </c>
      <c r="K194" s="2" t="inlineStr">
        <is>
          <t>주식회사 카카오뱅크:10-01-30-355-0002:join_member</t>
        </is>
      </c>
      <c r="L194" s="2" t="inlineStr">
        <is>
          <t>만 14세 이상의 실명의 개인</t>
        </is>
      </c>
    </row>
    <row r="195">
      <c r="A195" s="2" t="inlineStr">
        <is>
          <t>PRD-0194</t>
        </is>
      </c>
      <c r="B195" s="2" t="inlineStr">
        <is>
          <t>공시형</t>
        </is>
      </c>
      <c r="C195" s="2" t="inlineStr">
        <is>
          <t>예금</t>
        </is>
      </c>
      <c r="D195" s="2" t="inlineStr">
        <is>
          <t>적금</t>
        </is>
      </c>
      <c r="E195" s="2" t="inlineStr">
        <is>
          <t>age_condition</t>
        </is>
      </c>
      <c r="F195" s="2" t="inlineStr">
        <is>
          <t>만 11세인 개인이 주식회사 카카오뱅크 '카카오뱅크 자유적금'의 가입 연령 요건(연령 외 요건은 충족 가정)을 충족하는가?</t>
        </is>
      </c>
      <c r="G195" s="2" t="inlineStr">
        <is>
          <t>boolean</t>
        </is>
      </c>
      <c r="H195" s="2" t="inlineStr">
        <is>
          <t>NO</t>
        </is>
      </c>
      <c r="I195" s="2" t="inlineStr"/>
      <c r="J195" s="2" t="inlineStr">
        <is>
          <t>금융감독원 금융상품통합비교공시 Open API (finlife.fss.or.kr), 202608</t>
        </is>
      </c>
      <c r="K195" s="2" t="inlineStr">
        <is>
          <t>주식회사 카카오뱅크:10-01-30-355-0002:join_member</t>
        </is>
      </c>
      <c r="L195" s="2" t="inlineStr">
        <is>
          <t>만 14세 이상의 실명의 개인</t>
        </is>
      </c>
    </row>
    <row r="196">
      <c r="A196" s="2" t="inlineStr">
        <is>
          <t>PRD-0195</t>
        </is>
      </c>
      <c r="B196" s="2" t="inlineStr">
        <is>
          <t>공시형</t>
        </is>
      </c>
      <c r="C196" s="2" t="inlineStr">
        <is>
          <t>예금</t>
        </is>
      </c>
      <c r="D196" s="2" t="inlineStr">
        <is>
          <t>적금</t>
        </is>
      </c>
      <c r="E196" s="2" t="inlineStr">
        <is>
          <t>age_condition</t>
        </is>
      </c>
      <c r="F196" s="2" t="inlineStr">
        <is>
          <t>연령 요건만 볼 때, 만 17세가 주식회사 카카오뱅크 '카카오뱅크 26주적금'에 가입 가능한가? (그 외 요건은 충족 가정)</t>
        </is>
      </c>
      <c r="G196" s="2" t="inlineStr">
        <is>
          <t>boolean</t>
        </is>
      </c>
      <c r="H196" s="2" t="inlineStr">
        <is>
          <t>YES</t>
        </is>
      </c>
      <c r="I196" s="2" t="inlineStr"/>
      <c r="J196" s="2" t="inlineStr">
        <is>
          <t>금융감독원 금융상품통합비교공시 Open API (finlife.fss.or.kr), 202608</t>
        </is>
      </c>
      <c r="K196" s="2" t="inlineStr">
        <is>
          <t>주식회사 카카오뱅크:10-01-30-355-0005:join_member</t>
        </is>
      </c>
      <c r="L196" s="2" t="inlineStr">
        <is>
          <t>만 14세 이상의 실명의 개인</t>
        </is>
      </c>
    </row>
    <row r="197">
      <c r="A197" s="2" t="inlineStr">
        <is>
          <t>PRD-0196</t>
        </is>
      </c>
      <c r="B197" s="2" t="inlineStr">
        <is>
          <t>공시형</t>
        </is>
      </c>
      <c r="C197" s="2" t="inlineStr">
        <is>
          <t>예금</t>
        </is>
      </c>
      <c r="D197" s="2" t="inlineStr">
        <is>
          <t>적금</t>
        </is>
      </c>
      <c r="E197" s="2" t="inlineStr">
        <is>
          <t>age_condition</t>
        </is>
      </c>
      <c r="F197" s="2" t="inlineStr">
        <is>
          <t>연령 요건만 볼 때, 만 11세가 주식회사 카카오뱅크 '카카오뱅크 26주적금'에 가입 가능한가? (그 외 요건은 충족 가정)</t>
        </is>
      </c>
      <c r="G197" s="2" t="inlineStr">
        <is>
          <t>boolean</t>
        </is>
      </c>
      <c r="H197" s="2" t="inlineStr">
        <is>
          <t>NO</t>
        </is>
      </c>
      <c r="I197" s="2" t="inlineStr"/>
      <c r="J197" s="2" t="inlineStr">
        <is>
          <t>금융감독원 금융상품통합비교공시 Open API (finlife.fss.or.kr), 202608</t>
        </is>
      </c>
      <c r="K197" s="2" t="inlineStr">
        <is>
          <t>주식회사 카카오뱅크:10-01-30-355-0005:join_member</t>
        </is>
      </c>
      <c r="L197" s="2" t="inlineStr">
        <is>
          <t>만 14세 이상의 실명의 개인</t>
        </is>
      </c>
    </row>
    <row r="198">
      <c r="A198" s="2" t="inlineStr">
        <is>
          <t>PRD-0197</t>
        </is>
      </c>
      <c r="B198" s="2" t="inlineStr">
        <is>
          <t>공시형</t>
        </is>
      </c>
      <c r="C198" s="2" t="inlineStr">
        <is>
          <t>예금</t>
        </is>
      </c>
      <c r="D198" s="2" t="inlineStr">
        <is>
          <t>적금</t>
        </is>
      </c>
      <c r="E198" s="2" t="inlineStr">
        <is>
          <t>age_condition</t>
        </is>
      </c>
      <c r="F198" s="2" t="inlineStr">
        <is>
          <t>만 17세인 개인이 주식회사 카카오뱅크 '카카오뱅크 한달적금'의 가입 연령 요건(연령 외 요건은 충족 가정)을 충족하는가?</t>
        </is>
      </c>
      <c r="G198" s="2" t="inlineStr">
        <is>
          <t>boolean</t>
        </is>
      </c>
      <c r="H198" s="2" t="inlineStr">
        <is>
          <t>YES</t>
        </is>
      </c>
      <c r="I198" s="2" t="inlineStr"/>
      <c r="J198" s="2" t="inlineStr">
        <is>
          <t>금융감독원 금융상품통합비교공시 Open API (finlife.fss.or.kr), 202608</t>
        </is>
      </c>
      <c r="K198" s="2" t="inlineStr">
        <is>
          <t>주식회사 카카오뱅크:10-01-30-355-0006:join_member</t>
        </is>
      </c>
      <c r="L198" s="2" t="inlineStr">
        <is>
          <t>만 14세 이상의 실명의 개인</t>
        </is>
      </c>
    </row>
    <row r="199">
      <c r="A199" s="2" t="inlineStr">
        <is>
          <t>PRD-0198</t>
        </is>
      </c>
      <c r="B199" s="2" t="inlineStr">
        <is>
          <t>공시형</t>
        </is>
      </c>
      <c r="C199" s="2" t="inlineStr">
        <is>
          <t>예금</t>
        </is>
      </c>
      <c r="D199" s="2" t="inlineStr">
        <is>
          <t>적금</t>
        </is>
      </c>
      <c r="E199" s="2" t="inlineStr">
        <is>
          <t>age_condition</t>
        </is>
      </c>
      <c r="F199" s="2" t="inlineStr">
        <is>
          <t>만 11세인 개인이 주식회사 카카오뱅크 '카카오뱅크 한달적금'의 가입 연령 요건(연령 외 요건은 충족 가정)을 충족하는가?</t>
        </is>
      </c>
      <c r="G199" s="2" t="inlineStr">
        <is>
          <t>boolean</t>
        </is>
      </c>
      <c r="H199" s="2" t="inlineStr">
        <is>
          <t>NO</t>
        </is>
      </c>
      <c r="I199" s="2" t="inlineStr"/>
      <c r="J199" s="2" t="inlineStr">
        <is>
          <t>금융감독원 금융상품통합비교공시 Open API (finlife.fss.or.kr), 202608</t>
        </is>
      </c>
      <c r="K199" s="2" t="inlineStr">
        <is>
          <t>주식회사 카카오뱅크:10-01-30-355-0006:join_member</t>
        </is>
      </c>
      <c r="L199" s="2" t="inlineStr">
        <is>
          <t>만 14세 이상의 실명의 개인</t>
        </is>
      </c>
    </row>
    <row r="200">
      <c r="A200" s="2" t="inlineStr">
        <is>
          <t>PRD-0199</t>
        </is>
      </c>
      <c r="B200" s="2" t="inlineStr">
        <is>
          <t>공시형</t>
        </is>
      </c>
      <c r="C200" s="2" t="inlineStr">
        <is>
          <t>예금</t>
        </is>
      </c>
      <c r="D200" s="2" t="inlineStr">
        <is>
          <t>적금</t>
        </is>
      </c>
      <c r="E200" s="2" t="inlineStr">
        <is>
          <t>age_condition</t>
        </is>
      </c>
      <c r="F200" s="2" t="inlineStr">
        <is>
          <t>만 20세인 개인이 주식회사 케이뱅크 '코드K 자유적금'의 가입 연령 요건(연령 외 요건은 충족 가정)을 충족하는가?</t>
        </is>
      </c>
      <c r="G200" s="2" t="inlineStr">
        <is>
          <t>boolean</t>
        </is>
      </c>
      <c r="H200" s="2" t="inlineStr">
        <is>
          <t>YES</t>
        </is>
      </c>
      <c r="I200" s="2" t="inlineStr"/>
      <c r="J200" s="2" t="inlineStr">
        <is>
          <t>금융감독원 금융상품통합비교공시 Open API (finlife.fss.or.kr), 202608</t>
        </is>
      </c>
      <c r="K200" s="2" t="inlineStr">
        <is>
          <t>주식회사 케이뱅크:01012000200000000003:join_member</t>
        </is>
      </c>
      <c r="L200" s="2" t="inlineStr">
        <is>
          <t>만 17세 이상 실명의 개인 및 개인사업자</t>
        </is>
      </c>
    </row>
    <row r="201">
      <c r="A201" s="2" t="inlineStr">
        <is>
          <t>PRD-0200</t>
        </is>
      </c>
      <c r="B201" s="2" t="inlineStr">
        <is>
          <t>공시형</t>
        </is>
      </c>
      <c r="C201" s="2" t="inlineStr">
        <is>
          <t>예금</t>
        </is>
      </c>
      <c r="D201" s="2" t="inlineStr">
        <is>
          <t>적금</t>
        </is>
      </c>
      <c r="E201" s="2" t="inlineStr">
        <is>
          <t>age_condition</t>
        </is>
      </c>
      <c r="F201" s="2" t="inlineStr">
        <is>
          <t>연령 요건만 볼 때, 만 14세가 주식회사 케이뱅크 '코드K 자유적금'에 가입 가능한가? (그 외 요건은 충족 가정)</t>
        </is>
      </c>
      <c r="G201" s="2" t="inlineStr">
        <is>
          <t>boolean</t>
        </is>
      </c>
      <c r="H201" s="2" t="inlineStr">
        <is>
          <t>NO</t>
        </is>
      </c>
      <c r="I201" s="2" t="inlineStr"/>
      <c r="J201" s="2" t="inlineStr">
        <is>
          <t>금융감독원 금융상품통합비교공시 Open API (finlife.fss.or.kr), 202608</t>
        </is>
      </c>
      <c r="K201" s="2" t="inlineStr">
        <is>
          <t>주식회사 케이뱅크:01012000200000000003:join_member</t>
        </is>
      </c>
      <c r="L201" s="2" t="inlineStr">
        <is>
          <t>만 17세 이상 실명의 개인 및 개인사업자</t>
        </is>
      </c>
    </row>
    <row r="202">
      <c r="A202" s="2" t="inlineStr">
        <is>
          <t>PRD-0201</t>
        </is>
      </c>
      <c r="B202" s="2" t="inlineStr">
        <is>
          <t>공시형</t>
        </is>
      </c>
      <c r="C202" s="2" t="inlineStr">
        <is>
          <t>예금</t>
        </is>
      </c>
      <c r="D202" s="2" t="inlineStr">
        <is>
          <t>적금</t>
        </is>
      </c>
      <c r="E202" s="2" t="inlineStr">
        <is>
          <t>age_condition</t>
        </is>
      </c>
      <c r="F202" s="2" t="inlineStr">
        <is>
          <t>만 20세인 개인이 주식회사 케이뱅크 '궁금한 적금'의 가입 연령 요건(연령 외 요건은 충족 가정)을 충족하는가?</t>
        </is>
      </c>
      <c r="G202" s="2" t="inlineStr">
        <is>
          <t>boolean</t>
        </is>
      </c>
      <c r="H202" s="2" t="inlineStr">
        <is>
          <t>YES</t>
        </is>
      </c>
      <c r="I202" s="2" t="inlineStr"/>
      <c r="J202" s="2" t="inlineStr">
        <is>
          <t>금융감독원 금융상품통합비교공시 Open API (finlife.fss.or.kr), 202608</t>
        </is>
      </c>
      <c r="K202" s="2" t="inlineStr">
        <is>
          <t>주식회사 케이뱅크:01012000200000000004:join_member</t>
        </is>
      </c>
      <c r="L202" s="2" t="inlineStr">
        <is>
          <t>만 17세 이상 실명의 개인 및 개인사업자</t>
        </is>
      </c>
    </row>
    <row r="203">
      <c r="A203" s="2" t="inlineStr">
        <is>
          <t>PRD-0202</t>
        </is>
      </c>
      <c r="B203" s="2" t="inlineStr">
        <is>
          <t>공시형</t>
        </is>
      </c>
      <c r="C203" s="2" t="inlineStr">
        <is>
          <t>예금</t>
        </is>
      </c>
      <c r="D203" s="2" t="inlineStr">
        <is>
          <t>적금</t>
        </is>
      </c>
      <c r="E203" s="2" t="inlineStr">
        <is>
          <t>age_condition</t>
        </is>
      </c>
      <c r="F203" s="2" t="inlineStr">
        <is>
          <t>연령 요건만 볼 때, 만 14세가 주식회사 케이뱅크 '궁금한 적금'에 가입 가능한가? (그 외 요건은 충족 가정)</t>
        </is>
      </c>
      <c r="G203" s="2" t="inlineStr">
        <is>
          <t>boolean</t>
        </is>
      </c>
      <c r="H203" s="2" t="inlineStr">
        <is>
          <t>NO</t>
        </is>
      </c>
      <c r="I203" s="2" t="inlineStr"/>
      <c r="J203" s="2" t="inlineStr">
        <is>
          <t>금융감독원 금융상품통합비교공시 Open API (finlife.fss.or.kr), 202608</t>
        </is>
      </c>
      <c r="K203" s="2" t="inlineStr">
        <is>
          <t>주식회사 케이뱅크:01012000200000000004:join_member</t>
        </is>
      </c>
      <c r="L203" s="2" t="inlineStr">
        <is>
          <t>만 17세 이상 실명의 개인 및 개인사업자</t>
        </is>
      </c>
    </row>
    <row r="204">
      <c r="A204" s="2" t="inlineStr">
        <is>
          <t>PRD-0203</t>
        </is>
      </c>
      <c r="B204" s="2" t="inlineStr">
        <is>
          <t>공시형</t>
        </is>
      </c>
      <c r="C204" s="2" t="inlineStr">
        <is>
          <t>예금</t>
        </is>
      </c>
      <c r="D204" s="2" t="inlineStr">
        <is>
          <t>적금</t>
        </is>
      </c>
      <c r="E204" s="2" t="inlineStr">
        <is>
          <t>age_condition</t>
        </is>
      </c>
      <c r="F204" s="2" t="inlineStr">
        <is>
          <t>만 20세인 개인이 주식회사 케이뱅크 '데굴데굴 농장'의 가입 연령 요건(연령 외 요건은 충족 가정)을 충족하는가?</t>
        </is>
      </c>
      <c r="G204" s="2" t="inlineStr">
        <is>
          <t>boolean</t>
        </is>
      </c>
      <c r="H204" s="2" t="inlineStr">
        <is>
          <t>YES</t>
        </is>
      </c>
      <c r="I204" s="2" t="inlineStr"/>
      <c r="J204" s="2" t="inlineStr">
        <is>
          <t>금융감독원 금융상품통합비교공시 Open API (finlife.fss.or.kr), 202608</t>
        </is>
      </c>
      <c r="K204" s="2" t="inlineStr">
        <is>
          <t>주식회사 케이뱅크:01012000200000000005:join_member</t>
        </is>
      </c>
      <c r="L204" s="2" t="inlineStr">
        <is>
          <t>만 17세 이상 실명의 개인 및 개인사업자</t>
        </is>
      </c>
    </row>
    <row r="205">
      <c r="A205" s="2" t="inlineStr">
        <is>
          <t>PRD-0204</t>
        </is>
      </c>
      <c r="B205" s="2" t="inlineStr">
        <is>
          <t>공시형</t>
        </is>
      </c>
      <c r="C205" s="2" t="inlineStr">
        <is>
          <t>예금</t>
        </is>
      </c>
      <c r="D205" s="2" t="inlineStr">
        <is>
          <t>적금</t>
        </is>
      </c>
      <c r="E205" s="2" t="inlineStr">
        <is>
          <t>age_condition</t>
        </is>
      </c>
      <c r="F205" s="2" t="inlineStr">
        <is>
          <t>만 14세인 개인이 주식회사 케이뱅크 '데굴데굴 농장'의 가입 연령 요건(연령 외 요건은 충족 가정)을 충족하는가?</t>
        </is>
      </c>
      <c r="G205" s="2" t="inlineStr">
        <is>
          <t>boolean</t>
        </is>
      </c>
      <c r="H205" s="2" t="inlineStr">
        <is>
          <t>NO</t>
        </is>
      </c>
      <c r="I205" s="2" t="inlineStr"/>
      <c r="J205" s="2" t="inlineStr">
        <is>
          <t>금융감독원 금융상품통합비교공시 Open API (finlife.fss.or.kr), 202608</t>
        </is>
      </c>
      <c r="K205" s="2" t="inlineStr">
        <is>
          <t>주식회사 케이뱅크:01012000200000000005:join_member</t>
        </is>
      </c>
      <c r="L205" s="2" t="inlineStr">
        <is>
          <t>만 17세 이상 실명의 개인 및 개인사업자</t>
        </is>
      </c>
    </row>
    <row r="206">
      <c r="A206" s="2" t="inlineStr">
        <is>
          <t>PRD-0205</t>
        </is>
      </c>
      <c r="B206" s="2" t="inlineStr">
        <is>
          <t>공시형</t>
        </is>
      </c>
      <c r="C206" s="2" t="inlineStr">
        <is>
          <t>예금</t>
        </is>
      </c>
      <c r="D206" s="2" t="inlineStr">
        <is>
          <t>적금</t>
        </is>
      </c>
      <c r="E206" s="2" t="inlineStr">
        <is>
          <t>age_condition</t>
        </is>
      </c>
      <c r="F206" s="2" t="inlineStr">
        <is>
          <t>연령 요건만 볼 때, 만 20세가 주식회사 케이뱅크 '주거래우대 자유적금'에 가입 가능한가? (그 외 요건은 충족 가정)</t>
        </is>
      </c>
      <c r="G206" s="2" t="inlineStr">
        <is>
          <t>boolean</t>
        </is>
      </c>
      <c r="H206" s="2" t="inlineStr">
        <is>
          <t>YES</t>
        </is>
      </c>
      <c r="I206" s="2" t="inlineStr"/>
      <c r="J206" s="2" t="inlineStr">
        <is>
          <t>금융감독원 금융상품통합비교공시 Open API (finlife.fss.or.kr), 202608</t>
        </is>
      </c>
      <c r="K206" s="2" t="inlineStr">
        <is>
          <t>주식회사 케이뱅크:01012000210000000000:join_member</t>
        </is>
      </c>
      <c r="L206" s="2" t="inlineStr">
        <is>
          <t>만 17세 이상 실명의 개인 및 개인사업자</t>
        </is>
      </c>
    </row>
    <row r="207">
      <c r="A207" s="2" t="inlineStr">
        <is>
          <t>PRD-0206</t>
        </is>
      </c>
      <c r="B207" s="2" t="inlineStr">
        <is>
          <t>공시형</t>
        </is>
      </c>
      <c r="C207" s="2" t="inlineStr">
        <is>
          <t>예금</t>
        </is>
      </c>
      <c r="D207" s="2" t="inlineStr">
        <is>
          <t>적금</t>
        </is>
      </c>
      <c r="E207" s="2" t="inlineStr">
        <is>
          <t>age_condition</t>
        </is>
      </c>
      <c r="F207" s="2" t="inlineStr">
        <is>
          <t>만 14세인 개인이 주식회사 케이뱅크 '주거래우대 자유적금'의 가입 연령 요건(연령 외 요건은 충족 가정)을 충족하는가?</t>
        </is>
      </c>
      <c r="G207" s="2" t="inlineStr">
        <is>
          <t>boolean</t>
        </is>
      </c>
      <c r="H207" s="2" t="inlineStr">
        <is>
          <t>NO</t>
        </is>
      </c>
      <c r="I207" s="2" t="inlineStr"/>
      <c r="J207" s="2" t="inlineStr">
        <is>
          <t>금융감독원 금융상품통합비교공시 Open API (finlife.fss.or.kr), 202608</t>
        </is>
      </c>
      <c r="K207" s="2" t="inlineStr">
        <is>
          <t>주식회사 케이뱅크:01012000210000000000:join_member</t>
        </is>
      </c>
      <c r="L207" s="2" t="inlineStr">
        <is>
          <t>만 17세 이상 실명의 개인 및 개인사업자</t>
        </is>
      </c>
    </row>
    <row r="208">
      <c r="A208" s="2" t="inlineStr">
        <is>
          <t>PRD-0207</t>
        </is>
      </c>
      <c r="B208" s="2" t="inlineStr">
        <is>
          <t>공시형</t>
        </is>
      </c>
      <c r="C208" s="2" t="inlineStr">
        <is>
          <t>예금</t>
        </is>
      </c>
      <c r="D208" s="2" t="inlineStr">
        <is>
          <t>정기예금</t>
        </is>
      </c>
      <c r="E208" s="2" t="inlineStr">
        <is>
          <t>max_limit_lookup</t>
        </is>
      </c>
      <c r="F208" s="2" t="inlineStr">
        <is>
          <t>공시 기준으로 경남은행 'BNK더조은정기예금'의 한도 상한은 얼마인가?</t>
        </is>
      </c>
      <c r="G208" s="2" t="inlineStr">
        <is>
          <t>span</t>
        </is>
      </c>
      <c r="H208" s="2" t="inlineStr">
        <is>
          <t>500,000,000원</t>
        </is>
      </c>
      <c r="I208" s="2" t="inlineStr"/>
      <c r="J208" s="2" t="inlineStr">
        <is>
          <t>금융감독원 금융상품통합비교공시 Open API (finlife.fss.or.kr), 202608</t>
        </is>
      </c>
      <c r="K208" s="2" t="inlineStr">
        <is>
          <t>경남은행:21001115:max_limit</t>
        </is>
      </c>
      <c r="L208" s="2" t="inlineStr">
        <is>
          <t>500000000</t>
        </is>
      </c>
    </row>
    <row r="209">
      <c r="A209" s="2" t="inlineStr">
        <is>
          <t>PRD-0208</t>
        </is>
      </c>
      <c r="B209" s="2" t="inlineStr">
        <is>
          <t>공시형</t>
        </is>
      </c>
      <c r="C209" s="2" t="inlineStr">
        <is>
          <t>예금</t>
        </is>
      </c>
      <c r="D209" s="2" t="inlineStr">
        <is>
          <t>정기예금</t>
        </is>
      </c>
      <c r="E209" s="2" t="inlineStr">
        <is>
          <t>max_limit_lookup</t>
        </is>
      </c>
      <c r="F209" s="2" t="inlineStr">
        <is>
          <t>공시 기준으로 경남은행 'The든든예금(시즌2)'의 한도 상한은 얼마인가?</t>
        </is>
      </c>
      <c r="G209" s="2" t="inlineStr">
        <is>
          <t>span</t>
        </is>
      </c>
      <c r="H209" s="2" t="inlineStr">
        <is>
          <t>1,000,000,000원</t>
        </is>
      </c>
      <c r="I209" s="2" t="inlineStr"/>
      <c r="J209" s="2" t="inlineStr">
        <is>
          <t>금융감독원 금융상품통합비교공시 Open API (finlife.fss.or.kr), 202608</t>
        </is>
      </c>
      <c r="K209" s="2" t="inlineStr">
        <is>
          <t>경남은행:21001280:max_limit</t>
        </is>
      </c>
      <c r="L209" s="2" t="inlineStr">
        <is>
          <t>1000000000</t>
        </is>
      </c>
    </row>
    <row r="210">
      <c r="A210" s="2" t="inlineStr">
        <is>
          <t>PRD-0209</t>
        </is>
      </c>
      <c r="B210" s="2" t="inlineStr">
        <is>
          <t>공시형</t>
        </is>
      </c>
      <c r="C210" s="2" t="inlineStr">
        <is>
          <t>예금</t>
        </is>
      </c>
      <c r="D210" s="2" t="inlineStr">
        <is>
          <t>정기예금</t>
        </is>
      </c>
      <c r="E210" s="2" t="inlineStr">
        <is>
          <t>max_limit_lookup</t>
        </is>
      </c>
      <c r="F210" s="2" t="inlineStr">
        <is>
          <t>공시 기준으로 경남은행 'The파트너예금'의 한도 상한은 얼마인가?</t>
        </is>
      </c>
      <c r="G210" s="2" t="inlineStr">
        <is>
          <t>span</t>
        </is>
      </c>
      <c r="H210" s="2" t="inlineStr">
        <is>
          <t>1,000,000,000원</t>
        </is>
      </c>
      <c r="I210" s="2" t="inlineStr"/>
      <c r="J210" s="2" t="inlineStr">
        <is>
          <t>금융감독원 금융상품통합비교공시 Open API (finlife.fss.or.kr), 202608</t>
        </is>
      </c>
      <c r="K210" s="2" t="inlineStr">
        <is>
          <t>경남은행:21001285:max_limit</t>
        </is>
      </c>
      <c r="L210" s="2" t="inlineStr">
        <is>
          <t>1000000000</t>
        </is>
      </c>
    </row>
    <row r="211">
      <c r="A211" s="2" t="inlineStr">
        <is>
          <t>PRD-0210</t>
        </is>
      </c>
      <c r="B211" s="2" t="inlineStr">
        <is>
          <t>공시형</t>
        </is>
      </c>
      <c r="C211" s="2" t="inlineStr">
        <is>
          <t>예금</t>
        </is>
      </c>
      <c r="D211" s="2" t="inlineStr">
        <is>
          <t>정기예금</t>
        </is>
      </c>
      <c r="E211" s="2" t="inlineStr">
        <is>
          <t>max_limit_lookup</t>
        </is>
      </c>
      <c r="F211" s="2" t="inlineStr">
        <is>
          <t>광주은행 '미즈월복리정기예금'의 최고 한도로 공시된 금액은 얼마인가?</t>
        </is>
      </c>
      <c r="G211" s="2" t="inlineStr">
        <is>
          <t>span</t>
        </is>
      </c>
      <c r="H211" s="2" t="inlineStr">
        <is>
          <t>50,000,000원</t>
        </is>
      </c>
      <c r="I211" s="2" t="inlineStr"/>
      <c r="J211" s="2" t="inlineStr">
        <is>
          <t>금융감독원 금융상품통합비교공시 Open API (finlife.fss.or.kr), 202608</t>
        </is>
      </c>
      <c r="K211" s="2" t="inlineStr">
        <is>
          <t>광주은행:TD11300027000:max_limit</t>
        </is>
      </c>
      <c r="L211" s="2" t="inlineStr">
        <is>
          <t>50000000</t>
        </is>
      </c>
    </row>
    <row r="212">
      <c r="A212" s="2" t="inlineStr">
        <is>
          <t>PRD-0211</t>
        </is>
      </c>
      <c r="B212" s="2" t="inlineStr">
        <is>
          <t>공시형</t>
        </is>
      </c>
      <c r="C212" s="2" t="inlineStr">
        <is>
          <t>예금</t>
        </is>
      </c>
      <c r="D212" s="2" t="inlineStr">
        <is>
          <t>정기예금</t>
        </is>
      </c>
      <c r="E212" s="2" t="inlineStr">
        <is>
          <t>max_limit_lookup</t>
        </is>
      </c>
      <c r="F212" s="2" t="inlineStr">
        <is>
          <t>광주은행 '굿스타트예금'의 공시된 최고 한도는 얼마인가?</t>
        </is>
      </c>
      <c r="G212" s="2" t="inlineStr">
        <is>
          <t>span</t>
        </is>
      </c>
      <c r="H212" s="2" t="inlineStr">
        <is>
          <t>100,000,000원</t>
        </is>
      </c>
      <c r="I212" s="2" t="inlineStr"/>
      <c r="J212" s="2" t="inlineStr">
        <is>
          <t>금융감독원 금융상품통합비교공시 Open API (finlife.fss.or.kr), 202608</t>
        </is>
      </c>
      <c r="K212" s="2" t="inlineStr">
        <is>
          <t>광주은행:TD11300035000:max_limit</t>
        </is>
      </c>
      <c r="L212" s="2" t="inlineStr">
        <is>
          <t>100000000</t>
        </is>
      </c>
    </row>
    <row r="213">
      <c r="A213" s="2" t="inlineStr">
        <is>
          <t>PRD-0212</t>
        </is>
      </c>
      <c r="B213" s="2" t="inlineStr">
        <is>
          <t>공시형</t>
        </is>
      </c>
      <c r="C213" s="2" t="inlineStr">
        <is>
          <t>예금</t>
        </is>
      </c>
      <c r="D213" s="2" t="inlineStr">
        <is>
          <t>정기예금</t>
        </is>
      </c>
      <c r="E213" s="2" t="inlineStr">
        <is>
          <t>max_limit_lookup</t>
        </is>
      </c>
      <c r="F213" s="2" t="inlineStr">
        <is>
          <t>광주은행 'The플러스예금'의 최고 한도로 공시된 금액은 얼마인가?</t>
        </is>
      </c>
      <c r="G213" s="2" t="inlineStr">
        <is>
          <t>span</t>
        </is>
      </c>
      <c r="H213" s="2" t="inlineStr">
        <is>
          <t>1,000,000,000원</t>
        </is>
      </c>
      <c r="I213" s="2" t="inlineStr"/>
      <c r="J213" s="2" t="inlineStr">
        <is>
          <t>금융감독원 금융상품통합비교공시 Open API (finlife.fss.or.kr), 202608</t>
        </is>
      </c>
      <c r="K213" s="2" t="inlineStr">
        <is>
          <t>광주은행:TD11300036000:max_limit</t>
        </is>
      </c>
      <c r="L213" s="2" t="inlineStr">
        <is>
          <t>1000000000</t>
        </is>
      </c>
    </row>
    <row r="214">
      <c r="A214" s="2" t="inlineStr">
        <is>
          <t>PRD-0213</t>
        </is>
      </c>
      <c r="B214" s="2" t="inlineStr">
        <is>
          <t>공시형</t>
        </is>
      </c>
      <c r="C214" s="2" t="inlineStr">
        <is>
          <t>예금</t>
        </is>
      </c>
      <c r="D214" s="2" t="inlineStr">
        <is>
          <t>정기예금</t>
        </is>
      </c>
      <c r="E214" s="2" t="inlineStr">
        <is>
          <t>max_limit_lookup</t>
        </is>
      </c>
      <c r="F214" s="2" t="inlineStr">
        <is>
          <t>공시 기준으로 농협은행주식회사 'NH올원e예금'의 한도 상한은 얼마인가?</t>
        </is>
      </c>
      <c r="G214" s="2" t="inlineStr">
        <is>
          <t>span</t>
        </is>
      </c>
      <c r="H214" s="2" t="inlineStr">
        <is>
          <t>1,000,000,000원</t>
        </is>
      </c>
      <c r="I214" s="2" t="inlineStr"/>
      <c r="J214" s="2" t="inlineStr">
        <is>
          <t>금융감독원 금융상품통합비교공시 Open API (finlife.fss.or.kr), 202608</t>
        </is>
      </c>
      <c r="K214" s="2" t="inlineStr">
        <is>
          <t>농협은행주식회사:10-003-1384-0001:max_limit</t>
        </is>
      </c>
      <c r="L214" s="2" t="inlineStr">
        <is>
          <t>1000000000</t>
        </is>
      </c>
    </row>
    <row r="215">
      <c r="A215" s="2" t="inlineStr">
        <is>
          <t>PRD-0214</t>
        </is>
      </c>
      <c r="B215" s="2" t="inlineStr">
        <is>
          <t>공시형</t>
        </is>
      </c>
      <c r="C215" s="2" t="inlineStr">
        <is>
          <t>예금</t>
        </is>
      </c>
      <c r="D215" s="2" t="inlineStr">
        <is>
          <t>정기예금</t>
        </is>
      </c>
      <c r="E215" s="2" t="inlineStr">
        <is>
          <t>max_limit_lookup</t>
        </is>
      </c>
      <c r="F215" s="2" t="inlineStr">
        <is>
          <t>수협은행 'Sh해양플라스틱Zero!예금 (만기일시지급식)'의 최고 한도로 공시된 금액은 얼마인가?</t>
        </is>
      </c>
      <c r="G215" s="2" t="inlineStr">
        <is>
          <t>span</t>
        </is>
      </c>
      <c r="H215" s="2" t="inlineStr">
        <is>
          <t>500,000,000원</t>
        </is>
      </c>
      <c r="I215" s="2" t="inlineStr"/>
      <c r="J215" s="2" t="inlineStr">
        <is>
          <t>금융감독원 금융상품통합비교공시 Open API (finlife.fss.or.kr), 202608</t>
        </is>
      </c>
      <c r="K215" s="2" t="inlineStr">
        <is>
          <t>수협은행:10120114300011:max_limit</t>
        </is>
      </c>
      <c r="L215" s="2" t="inlineStr">
        <is>
          <t>500000000</t>
        </is>
      </c>
    </row>
    <row r="216">
      <c r="A216" s="2" t="inlineStr">
        <is>
          <t>PRD-0215</t>
        </is>
      </c>
      <c r="B216" s="2" t="inlineStr">
        <is>
          <t>공시형</t>
        </is>
      </c>
      <c r="C216" s="2" t="inlineStr">
        <is>
          <t>예금</t>
        </is>
      </c>
      <c r="D216" s="2" t="inlineStr">
        <is>
          <t>정기예금</t>
        </is>
      </c>
      <c r="E216" s="2" t="inlineStr">
        <is>
          <t>max_limit_lookup</t>
        </is>
      </c>
      <c r="F216" s="2" t="inlineStr">
        <is>
          <t>공시 기준으로 수협은행 '헤이(Hey)정기예금'의 한도 상한은 얼마인가?</t>
        </is>
      </c>
      <c r="G216" s="2" t="inlineStr">
        <is>
          <t>span</t>
        </is>
      </c>
      <c r="H216" s="2" t="inlineStr">
        <is>
          <t>1,000,000,000원</t>
        </is>
      </c>
      <c r="I216" s="2" t="inlineStr"/>
      <c r="J216" s="2" t="inlineStr">
        <is>
          <t>금융감독원 금융상품통합비교공시 Open API (finlife.fss.or.kr), 202608</t>
        </is>
      </c>
      <c r="K216" s="2" t="inlineStr">
        <is>
          <t>수협은행:10120114700011:max_limit</t>
        </is>
      </c>
      <c r="L216" s="2" t="inlineStr">
        <is>
          <t>1000000000</t>
        </is>
      </c>
    </row>
    <row r="217">
      <c r="A217" s="2" t="inlineStr">
        <is>
          <t>PRD-0216</t>
        </is>
      </c>
      <c r="B217" s="2" t="inlineStr">
        <is>
          <t>공시형</t>
        </is>
      </c>
      <c r="C217" s="2" t="inlineStr">
        <is>
          <t>예금</t>
        </is>
      </c>
      <c r="D217" s="2" t="inlineStr">
        <is>
          <t>정기예금</t>
        </is>
      </c>
      <c r="E217" s="2" t="inlineStr">
        <is>
          <t>max_limit_lookup</t>
        </is>
      </c>
      <c r="F217" s="2" t="inlineStr">
        <is>
          <t>공시 기준으로 수협은행 'Sh첫만남우대예금'의 한도 상한은 얼마인가?</t>
        </is>
      </c>
      <c r="G217" s="2" t="inlineStr">
        <is>
          <t>span</t>
        </is>
      </c>
      <c r="H217" s="2" t="inlineStr">
        <is>
          <t>30,000,000원</t>
        </is>
      </c>
      <c r="I217" s="2" t="inlineStr"/>
      <c r="J217" s="2" t="inlineStr">
        <is>
          <t>금융감독원 금융상품통합비교공시 Open API (finlife.fss.or.kr), 202608</t>
        </is>
      </c>
      <c r="K217" s="2" t="inlineStr">
        <is>
          <t>수협은행:10120116100011:max_limit</t>
        </is>
      </c>
      <c r="L217" s="2" t="inlineStr">
        <is>
          <t>30000000</t>
        </is>
      </c>
    </row>
    <row r="218">
      <c r="A218" s="2" t="inlineStr">
        <is>
          <t>PRD-0217</t>
        </is>
      </c>
      <c r="B218" s="2" t="inlineStr">
        <is>
          <t>공시형</t>
        </is>
      </c>
      <c r="C218" s="2" t="inlineStr">
        <is>
          <t>예금</t>
        </is>
      </c>
      <c r="D218" s="2" t="inlineStr">
        <is>
          <t>정기예금</t>
        </is>
      </c>
      <c r="E218" s="2" t="inlineStr">
        <is>
          <t>max_limit_lookup</t>
        </is>
      </c>
      <c r="F218" s="2" t="inlineStr">
        <is>
          <t>공시 기준으로 신한은행 '신한My플러스 정기예금'의 한도 상한은 얼마인가?</t>
        </is>
      </c>
      <c r="G218" s="2" t="inlineStr">
        <is>
          <t>span</t>
        </is>
      </c>
      <c r="H218" s="2" t="inlineStr">
        <is>
          <t>100,000,000원</t>
        </is>
      </c>
      <c r="I218" s="2" t="inlineStr"/>
      <c r="J218" s="2" t="inlineStr">
        <is>
          <t>금융감독원 금융상품통합비교공시 Open API (finlife.fss.or.kr), 202608</t>
        </is>
      </c>
      <c r="K218" s="2" t="inlineStr">
        <is>
          <t>신한은행:207-0134-16:max_limit</t>
        </is>
      </c>
      <c r="L218" s="2" t="inlineStr">
        <is>
          <t>100000000</t>
        </is>
      </c>
    </row>
    <row r="219">
      <c r="A219" s="2" t="inlineStr">
        <is>
          <t>PRD-0218</t>
        </is>
      </c>
      <c r="B219" s="2" t="inlineStr">
        <is>
          <t>공시형</t>
        </is>
      </c>
      <c r="C219" s="2" t="inlineStr">
        <is>
          <t>예금</t>
        </is>
      </c>
      <c r="D219" s="2" t="inlineStr">
        <is>
          <t>정기예금</t>
        </is>
      </c>
      <c r="E219" s="2" t="inlineStr">
        <is>
          <t>max_limit_lookup</t>
        </is>
      </c>
      <c r="F219" s="2" t="inlineStr">
        <is>
          <t>중소기업은행 'IBK평생한가족통장(실세금리정기예금)'의 최고 한도로 공시된 금액은 얼마인가?</t>
        </is>
      </c>
      <c r="G219" s="2" t="inlineStr">
        <is>
          <t>span</t>
        </is>
      </c>
      <c r="H219" s="2" t="inlineStr">
        <is>
          <t>100,000,000원</t>
        </is>
      </c>
      <c r="I219" s="2" t="inlineStr"/>
      <c r="J219" s="2" t="inlineStr">
        <is>
          <t>금융감독원 금융상품통합비교공시 Open API (finlife.fss.or.kr), 202608</t>
        </is>
      </c>
      <c r="K219" s="2" t="inlineStr">
        <is>
          <t>중소기업은행:01211310121:max_limit</t>
        </is>
      </c>
      <c r="L219" s="2" t="inlineStr">
        <is>
          <t>100000000</t>
        </is>
      </c>
    </row>
    <row r="220">
      <c r="A220" s="2" t="inlineStr">
        <is>
          <t>PRD-0219</t>
        </is>
      </c>
      <c r="B220" s="2" t="inlineStr">
        <is>
          <t>공시형</t>
        </is>
      </c>
      <c r="C220" s="2" t="inlineStr">
        <is>
          <t>예금</t>
        </is>
      </c>
      <c r="D220" s="2" t="inlineStr">
        <is>
          <t>정기예금</t>
        </is>
      </c>
      <c r="E220" s="2" t="inlineStr">
        <is>
          <t>max_limit_lookup</t>
        </is>
      </c>
      <c r="F220" s="2" t="inlineStr">
        <is>
          <t>중소기업은행 'IBK굴리기통장(정기예금)'의 최고 한도로 공시된 금액은 얼마인가?</t>
        </is>
      </c>
      <c r="G220" s="2" t="inlineStr">
        <is>
          <t>span</t>
        </is>
      </c>
      <c r="H220" s="2" t="inlineStr">
        <is>
          <t>300,000,000원</t>
        </is>
      </c>
      <c r="I220" s="2" t="inlineStr"/>
      <c r="J220" s="2" t="inlineStr">
        <is>
          <t>금융감독원 금융상품통합비교공시 Open API (finlife.fss.or.kr), 202608</t>
        </is>
      </c>
      <c r="K220" s="2" t="inlineStr">
        <is>
          <t>중소기업은행:01211310142:max_limit</t>
        </is>
      </c>
      <c r="L220" s="2" t="inlineStr">
        <is>
          <t>300000000</t>
        </is>
      </c>
    </row>
    <row r="221">
      <c r="A221" s="2" t="inlineStr">
        <is>
          <t>PRD-0220</t>
        </is>
      </c>
      <c r="B221" s="2" t="inlineStr">
        <is>
          <t>공시형</t>
        </is>
      </c>
      <c r="C221" s="2" t="inlineStr">
        <is>
          <t>예금</t>
        </is>
      </c>
      <c r="D221" s="2" t="inlineStr">
        <is>
          <t>정기예금</t>
        </is>
      </c>
      <c r="E221" s="2" t="inlineStr">
        <is>
          <t>max_limit_lookup</t>
        </is>
      </c>
      <c r="F221" s="2" t="inlineStr">
        <is>
          <t>토스뱅크 주식회사 '토스뱅크 먼저 이자 받는 정기예금'의 공시된 최고 한도는 얼마인가?</t>
        </is>
      </c>
      <c r="G221" s="2" t="inlineStr">
        <is>
          <t>span</t>
        </is>
      </c>
      <c r="H221" s="2" t="inlineStr">
        <is>
          <t>1,000,000,000원</t>
        </is>
      </c>
      <c r="I221" s="2" t="inlineStr"/>
      <c r="J221" s="2" t="inlineStr">
        <is>
          <t>금융감독원 금융상품통합비교공시 Open API (finlife.fss.or.kr), 202608</t>
        </is>
      </c>
      <c r="K221" s="2" t="inlineStr">
        <is>
          <t>토스뱅크 주식회사:1001202000002:max_limit</t>
        </is>
      </c>
      <c r="L221" s="2" t="inlineStr">
        <is>
          <t>1000000000</t>
        </is>
      </c>
    </row>
    <row r="222">
      <c r="A222" s="2" t="inlineStr">
        <is>
          <t>PRD-0221</t>
        </is>
      </c>
      <c r="B222" s="2" t="inlineStr">
        <is>
          <t>공시형</t>
        </is>
      </c>
      <c r="C222" s="2" t="inlineStr">
        <is>
          <t>예금</t>
        </is>
      </c>
      <c r="D222" s="2" t="inlineStr">
        <is>
          <t>정기예금</t>
        </is>
      </c>
      <c r="E222" s="2" t="inlineStr">
        <is>
          <t>max_limit_lookup</t>
        </is>
      </c>
      <c r="F222" s="2" t="inlineStr">
        <is>
          <t>한국스탠다드차타드은행 'e-그린세이브예금'의 최고 한도로 공시된 금액은 얼마인가?</t>
        </is>
      </c>
      <c r="G222" s="2" t="inlineStr">
        <is>
          <t>span</t>
        </is>
      </c>
      <c r="H222" s="2" t="inlineStr">
        <is>
          <t>1,000,000,000원</t>
        </is>
      </c>
      <c r="I222" s="2" t="inlineStr"/>
      <c r="J222" s="2" t="inlineStr">
        <is>
          <t>금융감독원 금융상품통합비교공시 Open API (finlife.fss.or.kr), 202608</t>
        </is>
      </c>
      <c r="K222" s="2" t="inlineStr">
        <is>
          <t>한국스탠다드차타드은행:00320342:max_limit</t>
        </is>
      </c>
      <c r="L222" s="2" t="inlineStr">
        <is>
          <t>1000000000</t>
        </is>
      </c>
    </row>
    <row r="223">
      <c r="A223" s="2" t="inlineStr">
        <is>
          <t>PRD-0222</t>
        </is>
      </c>
      <c r="B223" s="2" t="inlineStr">
        <is>
          <t>공시형</t>
        </is>
      </c>
      <c r="C223" s="2" t="inlineStr">
        <is>
          <t>예금</t>
        </is>
      </c>
      <c r="D223" s="2" t="inlineStr">
        <is>
          <t>적금</t>
        </is>
      </c>
      <c r="E223" s="2" t="inlineStr">
        <is>
          <t>max_limit_lookup</t>
        </is>
      </c>
      <c r="F223" s="2" t="inlineStr">
        <is>
          <t>경남은행 '행복 DREAM 적금'의 공시된 최고 한도는 얼마인가?</t>
        </is>
      </c>
      <c r="G223" s="2" t="inlineStr">
        <is>
          <t>span</t>
        </is>
      </c>
      <c r="H223" s="2" t="inlineStr">
        <is>
          <t>999,999,999원</t>
        </is>
      </c>
      <c r="I223" s="2" t="inlineStr"/>
      <c r="J223" s="2" t="inlineStr">
        <is>
          <t>금융감독원 금융상품통합비교공시 Open API (finlife.fss.or.kr), 202608</t>
        </is>
      </c>
      <c r="K223" s="2" t="inlineStr">
        <is>
          <t>경남은행:21000111:max_limit</t>
        </is>
      </c>
      <c r="L223" s="2" t="inlineStr">
        <is>
          <t>999999999</t>
        </is>
      </c>
    </row>
    <row r="224">
      <c r="A224" s="2" t="inlineStr">
        <is>
          <t>PRD-0223</t>
        </is>
      </c>
      <c r="B224" s="2" t="inlineStr">
        <is>
          <t>공시형</t>
        </is>
      </c>
      <c r="C224" s="2" t="inlineStr">
        <is>
          <t>예금</t>
        </is>
      </c>
      <c r="D224" s="2" t="inlineStr">
        <is>
          <t>적금</t>
        </is>
      </c>
      <c r="E224" s="2" t="inlineStr">
        <is>
          <t>max_limit_lookup</t>
        </is>
      </c>
      <c r="F224" s="2" t="inlineStr">
        <is>
          <t>경남은행 'BNK더조은자유적금'의 공시된 최고 한도는 얼마인가?</t>
        </is>
      </c>
      <c r="G224" s="2" t="inlineStr">
        <is>
          <t>span</t>
        </is>
      </c>
      <c r="H224" s="2" t="inlineStr">
        <is>
          <t>5,000,000원</t>
        </is>
      </c>
      <c r="I224" s="2" t="inlineStr"/>
      <c r="J224" s="2" t="inlineStr">
        <is>
          <t>금융감독원 금융상품통합비교공시 Open API (finlife.fss.or.kr), 202608</t>
        </is>
      </c>
      <c r="K224" s="2" t="inlineStr">
        <is>
          <t>경남은행:21001116:max_limit</t>
        </is>
      </c>
      <c r="L224" s="2" t="inlineStr">
        <is>
          <t>5000000</t>
        </is>
      </c>
    </row>
    <row r="225">
      <c r="A225" s="2" t="inlineStr">
        <is>
          <t>PRD-0224</t>
        </is>
      </c>
      <c r="B225" s="2" t="inlineStr">
        <is>
          <t>공시형</t>
        </is>
      </c>
      <c r="C225" s="2" t="inlineStr">
        <is>
          <t>예금</t>
        </is>
      </c>
      <c r="D225" s="2" t="inlineStr">
        <is>
          <t>적금</t>
        </is>
      </c>
      <c r="E225" s="2" t="inlineStr">
        <is>
          <t>max_limit_lookup</t>
        </is>
      </c>
      <c r="F225" s="2" t="inlineStr">
        <is>
          <t>경남은행 'BNK 위더스자유적금'의 최고 한도로 공시된 금액은 얼마인가?</t>
        </is>
      </c>
      <c r="G225" s="2" t="inlineStr">
        <is>
          <t>span</t>
        </is>
      </c>
      <c r="H225" s="2" t="inlineStr">
        <is>
          <t>1,000,000원</t>
        </is>
      </c>
      <c r="I225" s="2" t="inlineStr"/>
      <c r="J225" s="2" t="inlineStr">
        <is>
          <t>금융감독원 금융상품통합비교공시 Open API (finlife.fss.or.kr), 202608</t>
        </is>
      </c>
      <c r="K225" s="2" t="inlineStr">
        <is>
          <t>경남은행:21001199:max_limit</t>
        </is>
      </c>
      <c r="L225" s="2" t="inlineStr">
        <is>
          <t>1000000</t>
        </is>
      </c>
    </row>
    <row r="226">
      <c r="A226" s="2" t="inlineStr">
        <is>
          <t>PRD-0225</t>
        </is>
      </c>
      <c r="B226" s="2" t="inlineStr">
        <is>
          <t>공시형</t>
        </is>
      </c>
      <c r="C226" s="2" t="inlineStr">
        <is>
          <t>예금</t>
        </is>
      </c>
      <c r="D226" s="2" t="inlineStr">
        <is>
          <t>적금</t>
        </is>
      </c>
      <c r="E226" s="2" t="inlineStr">
        <is>
          <t>max_limit_lookup</t>
        </is>
      </c>
      <c r="F226" s="2" t="inlineStr">
        <is>
          <t>공시 기준으로 경남은행 '주거래 프리미엄 적금'의 한도 상한은 얼마인가?</t>
        </is>
      </c>
      <c r="G226" s="2" t="inlineStr">
        <is>
          <t>span</t>
        </is>
      </c>
      <c r="H226" s="2" t="inlineStr">
        <is>
          <t>999,999,999원</t>
        </is>
      </c>
      <c r="I226" s="2" t="inlineStr"/>
      <c r="J226" s="2" t="inlineStr">
        <is>
          <t>금융감독원 금융상품통합비교공시 Open API (finlife.fss.or.kr), 202608</t>
        </is>
      </c>
      <c r="K226" s="2" t="inlineStr">
        <is>
          <t>경남은행:21001236:max_limit</t>
        </is>
      </c>
      <c r="L226" s="2" t="inlineStr">
        <is>
          <t>999999999</t>
        </is>
      </c>
    </row>
    <row r="227">
      <c r="A227" s="2" t="inlineStr">
        <is>
          <t>PRD-0226</t>
        </is>
      </c>
      <c r="B227" s="2" t="inlineStr">
        <is>
          <t>공시형</t>
        </is>
      </c>
      <c r="C227" s="2" t="inlineStr">
        <is>
          <t>예금</t>
        </is>
      </c>
      <c r="D227" s="2" t="inlineStr">
        <is>
          <t>적금</t>
        </is>
      </c>
      <c r="E227" s="2" t="inlineStr">
        <is>
          <t>max_limit_lookup</t>
        </is>
      </c>
      <c r="F227" s="2" t="inlineStr">
        <is>
          <t>경남은행 '오늘도세이브적금'의 최고 한도로 공시된 금액은 얼마인가?</t>
        </is>
      </c>
      <c r="G227" s="2" t="inlineStr">
        <is>
          <t>span</t>
        </is>
      </c>
      <c r="H227" s="2" t="inlineStr">
        <is>
          <t>100,000원</t>
        </is>
      </c>
      <c r="I227" s="2" t="inlineStr"/>
      <c r="J227" s="2" t="inlineStr">
        <is>
          <t>금융감독원 금융상품통합비교공시 Open API (finlife.fss.or.kr), 202608</t>
        </is>
      </c>
      <c r="K227" s="2" t="inlineStr">
        <is>
          <t>경남은행:21001259:max_limit</t>
        </is>
      </c>
      <c r="L227" s="2" t="inlineStr">
        <is>
          <t>100000</t>
        </is>
      </c>
    </row>
    <row r="228">
      <c r="A228" s="2" t="inlineStr">
        <is>
          <t>PRD-0227</t>
        </is>
      </c>
      <c r="B228" s="2" t="inlineStr">
        <is>
          <t>공시형</t>
        </is>
      </c>
      <c r="C228" s="2" t="inlineStr">
        <is>
          <t>예금</t>
        </is>
      </c>
      <c r="D228" s="2" t="inlineStr">
        <is>
          <t>적금</t>
        </is>
      </c>
      <c r="E228" s="2" t="inlineStr">
        <is>
          <t>max_limit_lookup</t>
        </is>
      </c>
      <c r="F228" s="2" t="inlineStr">
        <is>
          <t>경남은행 '오면우대! 하면우대! 정기적금'의 공시된 최고 한도는 얼마인가?</t>
        </is>
      </c>
      <c r="G228" s="2" t="inlineStr">
        <is>
          <t>span</t>
        </is>
      </c>
      <c r="H228" s="2" t="inlineStr">
        <is>
          <t>500,000원</t>
        </is>
      </c>
      <c r="I228" s="2" t="inlineStr"/>
      <c r="J228" s="2" t="inlineStr">
        <is>
          <t>금융감독원 금융상품통합비교공시 Open API (finlife.fss.or.kr), 202608</t>
        </is>
      </c>
      <c r="K228" s="2" t="inlineStr">
        <is>
          <t>경남은행:21001292:max_limit</t>
        </is>
      </c>
      <c r="L228" s="2" t="inlineStr">
        <is>
          <t>500000</t>
        </is>
      </c>
    </row>
    <row r="229">
      <c r="A229" s="2" t="inlineStr">
        <is>
          <t>PRD-0228</t>
        </is>
      </c>
      <c r="B229" s="2" t="inlineStr">
        <is>
          <t>공시형</t>
        </is>
      </c>
      <c r="C229" s="2" t="inlineStr">
        <is>
          <t>예금</t>
        </is>
      </c>
      <c r="D229" s="2" t="inlineStr">
        <is>
          <t>적금</t>
        </is>
      </c>
      <c r="E229" s="2" t="inlineStr">
        <is>
          <t>max_limit_lookup</t>
        </is>
      </c>
      <c r="F229" s="2" t="inlineStr">
        <is>
          <t>광주은행 '해피라이프_여행스케치적금V'의 공시된 최고 한도는 얼마인가?</t>
        </is>
      </c>
      <c r="G229" s="2" t="inlineStr">
        <is>
          <t>span</t>
        </is>
      </c>
      <c r="H229" s="2" t="inlineStr">
        <is>
          <t>5,000,000원</t>
        </is>
      </c>
      <c r="I229" s="2" t="inlineStr"/>
      <c r="J229" s="2" t="inlineStr">
        <is>
          <t>금융감독원 금융상품통합비교공시 Open API (finlife.fss.or.kr), 202608</t>
        </is>
      </c>
      <c r="K229" s="2" t="inlineStr">
        <is>
          <t>광주은행:TD11330029000:max_limit</t>
        </is>
      </c>
      <c r="L229" s="2" t="inlineStr">
        <is>
          <t>5000000</t>
        </is>
      </c>
    </row>
    <row r="230">
      <c r="A230" s="2" t="inlineStr">
        <is>
          <t>PRD-0229</t>
        </is>
      </c>
      <c r="B230" s="2" t="inlineStr">
        <is>
          <t>공시형</t>
        </is>
      </c>
      <c r="C230" s="2" t="inlineStr">
        <is>
          <t>예금</t>
        </is>
      </c>
      <c r="D230" s="2" t="inlineStr">
        <is>
          <t>적금</t>
        </is>
      </c>
      <c r="E230" s="2" t="inlineStr">
        <is>
          <t>max_limit_lookup</t>
        </is>
      </c>
      <c r="F230" s="2" t="inlineStr">
        <is>
          <t>광주은행 '여행스케치_남도투어적금'의 공시된 최고 한도는 얼마인가?</t>
        </is>
      </c>
      <c r="G230" s="2" t="inlineStr">
        <is>
          <t>span</t>
        </is>
      </c>
      <c r="H230" s="2" t="inlineStr">
        <is>
          <t>1,000,000원</t>
        </is>
      </c>
      <c r="I230" s="2" t="inlineStr"/>
      <c r="J230" s="2" t="inlineStr">
        <is>
          <t>금융감독원 금융상품통합비교공시 Open API (finlife.fss.or.kr), 202608</t>
        </is>
      </c>
      <c r="K230" s="2" t="inlineStr">
        <is>
          <t>광주은행:TD11330030000:max_limit</t>
        </is>
      </c>
      <c r="L230" s="2" t="inlineStr">
        <is>
          <t>1000000</t>
        </is>
      </c>
    </row>
    <row r="231">
      <c r="A231" s="2" t="inlineStr">
        <is>
          <t>PRD-0230</t>
        </is>
      </c>
      <c r="B231" s="2" t="inlineStr">
        <is>
          <t>공시형</t>
        </is>
      </c>
      <c r="C231" s="2" t="inlineStr">
        <is>
          <t>예금</t>
        </is>
      </c>
      <c r="D231" s="2" t="inlineStr">
        <is>
          <t>적금</t>
        </is>
      </c>
      <c r="E231" s="2" t="inlineStr">
        <is>
          <t>max_limit_lookup</t>
        </is>
      </c>
      <c r="F231" s="2" t="inlineStr">
        <is>
          <t>광주은행 'VIP플러스적금'의 공시된 최고 한도는 얼마인가?</t>
        </is>
      </c>
      <c r="G231" s="2" t="inlineStr">
        <is>
          <t>span</t>
        </is>
      </c>
      <c r="H231" s="2" t="inlineStr">
        <is>
          <t>5,000,000원</t>
        </is>
      </c>
      <c r="I231" s="2" t="inlineStr"/>
      <c r="J231" s="2" t="inlineStr">
        <is>
          <t>금융감독원 금융상품통합비교공시 Open API (finlife.fss.or.kr), 202608</t>
        </is>
      </c>
      <c r="K231" s="2" t="inlineStr">
        <is>
          <t>광주은행:TD11330031000:max_limit</t>
        </is>
      </c>
      <c r="L231" s="2" t="inlineStr">
        <is>
          <t>5000000</t>
        </is>
      </c>
    </row>
    <row r="232">
      <c r="A232" s="2" t="inlineStr">
        <is>
          <t>PRD-0231</t>
        </is>
      </c>
      <c r="B232" s="2" t="inlineStr">
        <is>
          <t>공시형</t>
        </is>
      </c>
      <c r="C232" s="2" t="inlineStr">
        <is>
          <t>예금</t>
        </is>
      </c>
      <c r="D232" s="2" t="inlineStr">
        <is>
          <t>적금</t>
        </is>
      </c>
      <c r="E232" s="2" t="inlineStr">
        <is>
          <t>max_limit_lookup</t>
        </is>
      </c>
      <c r="F232" s="2" t="inlineStr">
        <is>
          <t>농협은행주식회사 'NH올원e 미니적금'의 최고 한도로 공시된 금액은 얼마인가?</t>
        </is>
      </c>
      <c r="G232" s="2" t="inlineStr">
        <is>
          <t>span</t>
        </is>
      </c>
      <c r="H232" s="2" t="inlineStr">
        <is>
          <t>1,550,000원</t>
        </is>
      </c>
      <c r="I232" s="2" t="inlineStr"/>
      <c r="J232" s="2" t="inlineStr">
        <is>
          <t>금융감독원 금융상품통합비교공시 Open API (finlife.fss.or.kr), 202608</t>
        </is>
      </c>
      <c r="K232" s="2" t="inlineStr">
        <is>
          <t>농협은행주식회사:10-047-1360-0002:max_limit</t>
        </is>
      </c>
      <c r="L232" s="2" t="inlineStr">
        <is>
          <t>1550000</t>
        </is>
      </c>
    </row>
    <row r="233">
      <c r="A233" s="2" t="inlineStr">
        <is>
          <t>PRD-0232</t>
        </is>
      </c>
      <c r="B233" s="2" t="inlineStr">
        <is>
          <t>공시형</t>
        </is>
      </c>
      <c r="C233" s="2" t="inlineStr">
        <is>
          <t>예금</t>
        </is>
      </c>
      <c r="D233" s="2" t="inlineStr">
        <is>
          <t>적금</t>
        </is>
      </c>
      <c r="E233" s="2" t="inlineStr">
        <is>
          <t>max_limit_lookup</t>
        </is>
      </c>
      <c r="F233" s="2" t="inlineStr">
        <is>
          <t>농협은행주식회사 'NH1934월복리적금'의 공시된 최고 한도는 얼마인가?</t>
        </is>
      </c>
      <c r="G233" s="2" t="inlineStr">
        <is>
          <t>span</t>
        </is>
      </c>
      <c r="H233" s="2" t="inlineStr">
        <is>
          <t>500,000원</t>
        </is>
      </c>
      <c r="I233" s="2" t="inlineStr"/>
      <c r="J233" s="2" t="inlineStr">
        <is>
          <t>금융감독원 금융상품통합비교공시 Open API (finlife.fss.or.kr), 202608</t>
        </is>
      </c>
      <c r="K233" s="2" t="inlineStr">
        <is>
          <t>농협은행주식회사:10-047-1365-0001:max_limit</t>
        </is>
      </c>
      <c r="L233" s="2" t="inlineStr">
        <is>
          <t>500000</t>
        </is>
      </c>
    </row>
    <row r="234">
      <c r="A234" s="2" t="inlineStr">
        <is>
          <t>PRD-0233</t>
        </is>
      </c>
      <c r="B234" s="2" t="inlineStr">
        <is>
          <t>공시형</t>
        </is>
      </c>
      <c r="C234" s="2" t="inlineStr">
        <is>
          <t>예금</t>
        </is>
      </c>
      <c r="D234" s="2" t="inlineStr">
        <is>
          <t>적금</t>
        </is>
      </c>
      <c r="E234" s="2" t="inlineStr">
        <is>
          <t>max_limit_lookup</t>
        </is>
      </c>
      <c r="F234" s="2" t="inlineStr">
        <is>
          <t>공시 기준으로 농협은행주식회사 'NH내가Green초록세상적금'의 한도 상한은 얼마인가?</t>
        </is>
      </c>
      <c r="G234" s="2" t="inlineStr">
        <is>
          <t>span</t>
        </is>
      </c>
      <c r="H234" s="2" t="inlineStr">
        <is>
          <t>500,000원</t>
        </is>
      </c>
      <c r="I234" s="2" t="inlineStr"/>
      <c r="J234" s="2" t="inlineStr">
        <is>
          <t>금융감독원 금융상품통합비교공시 Open API (finlife.fss.or.kr), 202608</t>
        </is>
      </c>
      <c r="K234" s="2" t="inlineStr">
        <is>
          <t>농협은행주식회사:10-047-1381-0001:max_limit</t>
        </is>
      </c>
      <c r="L234" s="2" t="inlineStr">
        <is>
          <t>500000</t>
        </is>
      </c>
    </row>
    <row r="235">
      <c r="A235" s="2" t="inlineStr">
        <is>
          <t>PRD-0234</t>
        </is>
      </c>
      <c r="B235" s="2" t="inlineStr">
        <is>
          <t>공시형</t>
        </is>
      </c>
      <c r="C235" s="2" t="inlineStr">
        <is>
          <t>예금</t>
        </is>
      </c>
      <c r="D235" s="2" t="inlineStr">
        <is>
          <t>적금</t>
        </is>
      </c>
      <c r="E235" s="2" t="inlineStr">
        <is>
          <t>max_limit_lookup</t>
        </is>
      </c>
      <c r="F235" s="2" t="inlineStr">
        <is>
          <t>농협은행주식회사 'NH고향사랑기부적금'의 최고 한도로 공시된 금액은 얼마인가?</t>
        </is>
      </c>
      <c r="G235" s="2" t="inlineStr">
        <is>
          <t>span</t>
        </is>
      </c>
      <c r="H235" s="2" t="inlineStr">
        <is>
          <t>500,000원</t>
        </is>
      </c>
      <c r="I235" s="2" t="inlineStr"/>
      <c r="J235" s="2" t="inlineStr">
        <is>
          <t>금융감독원 금융상품통합비교공시 Open API (finlife.fss.or.kr), 202608</t>
        </is>
      </c>
      <c r="K235" s="2" t="inlineStr">
        <is>
          <t>농협은행주식회사:10-047-1387-0001:max_limit</t>
        </is>
      </c>
      <c r="L235" s="2" t="inlineStr">
        <is>
          <t>500000</t>
        </is>
      </c>
    </row>
    <row r="236">
      <c r="A236" s="2" t="inlineStr">
        <is>
          <t>PRD-0235</t>
        </is>
      </c>
      <c r="B236" s="2" t="inlineStr">
        <is>
          <t>공시형</t>
        </is>
      </c>
      <c r="C236" s="2" t="inlineStr">
        <is>
          <t>예금</t>
        </is>
      </c>
      <c r="D236" s="2" t="inlineStr">
        <is>
          <t>적금</t>
        </is>
      </c>
      <c r="E236" s="2" t="inlineStr">
        <is>
          <t>max_limit_lookup</t>
        </is>
      </c>
      <c r="F236" s="2" t="inlineStr">
        <is>
          <t>공시 기준으로 농협은행주식회사 'NH직장인월복리적금'의 한도 상한은 얼마인가?</t>
        </is>
      </c>
      <c r="G236" s="2" t="inlineStr">
        <is>
          <t>span</t>
        </is>
      </c>
      <c r="H236" s="2" t="inlineStr">
        <is>
          <t>3,000,000원</t>
        </is>
      </c>
      <c r="I236" s="2" t="inlineStr"/>
      <c r="J236" s="2" t="inlineStr">
        <is>
          <t>금융감독원 금융상품통합비교공시 Open API (finlife.fss.or.kr), 202608</t>
        </is>
      </c>
      <c r="K236" s="2" t="inlineStr">
        <is>
          <t>농협은행주식회사:10-059-1264-0001:max_limit</t>
        </is>
      </c>
      <c r="L236" s="2" t="inlineStr">
        <is>
          <t>3000000</t>
        </is>
      </c>
    </row>
    <row r="237">
      <c r="A237" s="2" t="inlineStr">
        <is>
          <t>PRD-0236</t>
        </is>
      </c>
      <c r="B237" s="2" t="inlineStr">
        <is>
          <t>공시형</t>
        </is>
      </c>
      <c r="C237" s="2" t="inlineStr">
        <is>
          <t>예금</t>
        </is>
      </c>
      <c r="D237" s="2" t="inlineStr">
        <is>
          <t>적금</t>
        </is>
      </c>
      <c r="E237" s="2" t="inlineStr">
        <is>
          <t>max_limit_lookup</t>
        </is>
      </c>
      <c r="F237" s="2" t="inlineStr">
        <is>
          <t>부산은행 '펫 적금'의 공시된 최고 한도는 얼마인가?</t>
        </is>
      </c>
      <c r="G237" s="2" t="inlineStr">
        <is>
          <t>span</t>
        </is>
      </c>
      <c r="H237" s="2" t="inlineStr">
        <is>
          <t>500,000원</t>
        </is>
      </c>
      <c r="I237" s="2" t="inlineStr"/>
      <c r="J237" s="2" t="inlineStr">
        <is>
          <t>금융감독원 금융상품통합비교공시 Open API (finlife.fss.or.kr), 202608</t>
        </is>
      </c>
      <c r="K237" s="2" t="inlineStr">
        <is>
          <t>부산은행:01020400490002:max_limit</t>
        </is>
      </c>
      <c r="L237" s="2" t="inlineStr">
        <is>
          <t>500000</t>
        </is>
      </c>
    </row>
    <row r="238">
      <c r="A238" s="2" t="inlineStr">
        <is>
          <t>PRD-0237</t>
        </is>
      </c>
      <c r="B238" s="2" t="inlineStr">
        <is>
          <t>공시형</t>
        </is>
      </c>
      <c r="C238" s="2" t="inlineStr">
        <is>
          <t>예금</t>
        </is>
      </c>
      <c r="D238" s="2" t="inlineStr">
        <is>
          <t>정기예금</t>
        </is>
      </c>
      <c r="E238" s="2" t="inlineStr">
        <is>
          <t>interest_calc_type</t>
        </is>
      </c>
      <c r="F238" s="2" t="inlineStr">
        <is>
          <t>경남은행 'BNK더조은정기예금'은(는) 단리와 복리 중 어느 방식으로 이자를 계산하는가?</t>
        </is>
      </c>
      <c r="G238" s="2" t="inlineStr">
        <is>
          <t>span</t>
        </is>
      </c>
      <c r="H238" s="2" t="inlineStr">
        <is>
          <t>단리</t>
        </is>
      </c>
      <c r="I238" s="2" t="inlineStr"/>
      <c r="J238" s="2" t="inlineStr">
        <is>
          <t>금융감독원 금융상품통합비교공시 Open API (finlife.fss.or.kr), 202608</t>
        </is>
      </c>
      <c r="K238" s="2" t="inlineStr">
        <is>
          <t>경남은행:21001115:intr_rate_type_nm</t>
        </is>
      </c>
      <c r="L238" s="2" t="inlineStr">
        <is>
          <t>단리</t>
        </is>
      </c>
    </row>
    <row r="239">
      <c r="A239" s="2" t="inlineStr">
        <is>
          <t>PRD-0238</t>
        </is>
      </c>
      <c r="B239" s="2" t="inlineStr">
        <is>
          <t>공시형</t>
        </is>
      </c>
      <c r="C239" s="2" t="inlineStr">
        <is>
          <t>예금</t>
        </is>
      </c>
      <c r="D239" s="2" t="inlineStr">
        <is>
          <t>정기예금</t>
        </is>
      </c>
      <c r="E239" s="2" t="inlineStr">
        <is>
          <t>interest_calc_type</t>
        </is>
      </c>
      <c r="F239" s="2" t="inlineStr">
        <is>
          <t>경남은행 'The든든예금(시즌2)'의 공시된 이자 계산 방식은 단리인가 복리인가?</t>
        </is>
      </c>
      <c r="G239" s="2" t="inlineStr">
        <is>
          <t>span</t>
        </is>
      </c>
      <c r="H239" s="2" t="inlineStr">
        <is>
          <t>단리</t>
        </is>
      </c>
      <c r="I239" s="2" t="inlineStr"/>
      <c r="J239" s="2" t="inlineStr">
        <is>
          <t>금융감독원 금융상품통합비교공시 Open API (finlife.fss.or.kr), 202608</t>
        </is>
      </c>
      <c r="K239" s="2" t="inlineStr">
        <is>
          <t>경남은행:21001280:intr_rate_type_nm</t>
        </is>
      </c>
      <c r="L239" s="2" t="inlineStr">
        <is>
          <t>단리</t>
        </is>
      </c>
    </row>
    <row r="240">
      <c r="A240" s="2" t="inlineStr">
        <is>
          <t>PRD-0239</t>
        </is>
      </c>
      <c r="B240" s="2" t="inlineStr">
        <is>
          <t>공시형</t>
        </is>
      </c>
      <c r="C240" s="2" t="inlineStr">
        <is>
          <t>예금</t>
        </is>
      </c>
      <c r="D240" s="2" t="inlineStr">
        <is>
          <t>정기예금</t>
        </is>
      </c>
      <c r="E240" s="2" t="inlineStr">
        <is>
          <t>interest_calc_type</t>
        </is>
      </c>
      <c r="F240" s="2" t="inlineStr">
        <is>
          <t>경남은행 'The파트너예금'은(는) 단리와 복리 중 어느 방식으로 이자를 계산하는가?</t>
        </is>
      </c>
      <c r="G240" s="2" t="inlineStr">
        <is>
          <t>span</t>
        </is>
      </c>
      <c r="H240" s="2" t="inlineStr">
        <is>
          <t>단리</t>
        </is>
      </c>
      <c r="I240" s="2" t="inlineStr"/>
      <c r="J240" s="2" t="inlineStr">
        <is>
          <t>금융감독원 금융상품통합비교공시 Open API (finlife.fss.or.kr), 202608</t>
        </is>
      </c>
      <c r="K240" s="2" t="inlineStr">
        <is>
          <t>경남은행:21001285:intr_rate_type_nm</t>
        </is>
      </c>
      <c r="L240" s="2" t="inlineStr">
        <is>
          <t>단리</t>
        </is>
      </c>
    </row>
    <row r="241">
      <c r="A241" s="2" t="inlineStr">
        <is>
          <t>PRD-0240</t>
        </is>
      </c>
      <c r="B241" s="2" t="inlineStr">
        <is>
          <t>공시형</t>
        </is>
      </c>
      <c r="C241" s="2" t="inlineStr">
        <is>
          <t>예금</t>
        </is>
      </c>
      <c r="D241" s="2" t="inlineStr">
        <is>
          <t>정기예금</t>
        </is>
      </c>
      <c r="E241" s="2" t="inlineStr">
        <is>
          <t>interest_calc_type</t>
        </is>
      </c>
      <c r="F241" s="2" t="inlineStr">
        <is>
          <t>이자 계산 방식(단리/복리) 기준으로 광주은행 '미즈월복리정기예금'은(는) 어느 쪽인가?</t>
        </is>
      </c>
      <c r="G241" s="2" t="inlineStr">
        <is>
          <t>span</t>
        </is>
      </c>
      <c r="H241" s="2" t="inlineStr">
        <is>
          <t>복리</t>
        </is>
      </c>
      <c r="I241" s="2" t="inlineStr"/>
      <c r="J241" s="2" t="inlineStr">
        <is>
          <t>금융감독원 금융상품통합비교공시 Open API (finlife.fss.or.kr), 202608</t>
        </is>
      </c>
      <c r="K241" s="2" t="inlineStr">
        <is>
          <t>광주은행:TD11300027000:intr_rate_type_nm</t>
        </is>
      </c>
      <c r="L241" s="2" t="inlineStr">
        <is>
          <t>복리</t>
        </is>
      </c>
    </row>
    <row r="242">
      <c r="A242" s="2" t="inlineStr">
        <is>
          <t>PRD-0241</t>
        </is>
      </c>
      <c r="B242" s="2" t="inlineStr">
        <is>
          <t>공시형</t>
        </is>
      </c>
      <c r="C242" s="2" t="inlineStr">
        <is>
          <t>예금</t>
        </is>
      </c>
      <c r="D242" s="2" t="inlineStr">
        <is>
          <t>정기예금</t>
        </is>
      </c>
      <c r="E242" s="2" t="inlineStr">
        <is>
          <t>interest_calc_type</t>
        </is>
      </c>
      <c r="F242" s="2" t="inlineStr">
        <is>
          <t>광주은행 '스마트모아Dream정기예금'은(는) 단리와 복리 중 어느 방식으로 이자를 계산하는가?</t>
        </is>
      </c>
      <c r="G242" s="2" t="inlineStr">
        <is>
          <t>span</t>
        </is>
      </c>
      <c r="H242" s="2" t="inlineStr">
        <is>
          <t>단리</t>
        </is>
      </c>
      <c r="I242" s="2" t="inlineStr"/>
      <c r="J242" s="2" t="inlineStr">
        <is>
          <t>금융감독원 금융상품통합비교공시 Open API (finlife.fss.or.kr), 202608</t>
        </is>
      </c>
      <c r="K242" s="2" t="inlineStr">
        <is>
          <t>광주은행:TD11300031000:intr_rate_type_nm</t>
        </is>
      </c>
      <c r="L242" s="2" t="inlineStr">
        <is>
          <t>단리</t>
        </is>
      </c>
    </row>
    <row r="243">
      <c r="A243" s="2" t="inlineStr">
        <is>
          <t>PRD-0242</t>
        </is>
      </c>
      <c r="B243" s="2" t="inlineStr">
        <is>
          <t>공시형</t>
        </is>
      </c>
      <c r="C243" s="2" t="inlineStr">
        <is>
          <t>예금</t>
        </is>
      </c>
      <c r="D243" s="2" t="inlineStr">
        <is>
          <t>정기예금</t>
        </is>
      </c>
      <c r="E243" s="2" t="inlineStr">
        <is>
          <t>interest_calc_type</t>
        </is>
      </c>
      <c r="F243" s="2" t="inlineStr">
        <is>
          <t>이자 계산 방식(단리/복리) 기준으로 광주은행 '굿스타트예금'은(는) 어느 쪽인가?</t>
        </is>
      </c>
      <c r="G243" s="2" t="inlineStr">
        <is>
          <t>span</t>
        </is>
      </c>
      <c r="H243" s="2" t="inlineStr">
        <is>
          <t>단리</t>
        </is>
      </c>
      <c r="I243" s="2" t="inlineStr"/>
      <c r="J243" s="2" t="inlineStr">
        <is>
          <t>금융감독원 금융상품통합비교공시 Open API (finlife.fss.or.kr), 202608</t>
        </is>
      </c>
      <c r="K243" s="2" t="inlineStr">
        <is>
          <t>광주은행:TD11300035000:intr_rate_type_nm</t>
        </is>
      </c>
      <c r="L243" s="2" t="inlineStr">
        <is>
          <t>단리</t>
        </is>
      </c>
    </row>
    <row r="244">
      <c r="A244" s="2" t="inlineStr">
        <is>
          <t>PRD-0243</t>
        </is>
      </c>
      <c r="B244" s="2" t="inlineStr">
        <is>
          <t>공시형</t>
        </is>
      </c>
      <c r="C244" s="2" t="inlineStr">
        <is>
          <t>예금</t>
        </is>
      </c>
      <c r="D244" s="2" t="inlineStr">
        <is>
          <t>정기예금</t>
        </is>
      </c>
      <c r="E244" s="2" t="inlineStr">
        <is>
          <t>interest_calc_type</t>
        </is>
      </c>
      <c r="F244" s="2" t="inlineStr">
        <is>
          <t>이자 계산 방식(단리/복리) 기준으로 광주은행 'The플러스예금'은(는) 어느 쪽인가?</t>
        </is>
      </c>
      <c r="G244" s="2" t="inlineStr">
        <is>
          <t>span</t>
        </is>
      </c>
      <c r="H244" s="2" t="inlineStr">
        <is>
          <t>단리</t>
        </is>
      </c>
      <c r="I244" s="2" t="inlineStr"/>
      <c r="J244" s="2" t="inlineStr">
        <is>
          <t>금융감독원 금융상품통합비교공시 Open API (finlife.fss.or.kr), 202608</t>
        </is>
      </c>
      <c r="K244" s="2" t="inlineStr">
        <is>
          <t>광주은행:TD11300036000:intr_rate_type_nm</t>
        </is>
      </c>
      <c r="L244" s="2" t="inlineStr">
        <is>
          <t>단리</t>
        </is>
      </c>
    </row>
    <row r="245">
      <c r="A245" s="2" t="inlineStr">
        <is>
          <t>PRD-0244</t>
        </is>
      </c>
      <c r="B245" s="2" t="inlineStr">
        <is>
          <t>공시형</t>
        </is>
      </c>
      <c r="C245" s="2" t="inlineStr">
        <is>
          <t>예금</t>
        </is>
      </c>
      <c r="D245" s="2" t="inlineStr">
        <is>
          <t>정기예금</t>
        </is>
      </c>
      <c r="E245" s="2" t="inlineStr">
        <is>
          <t>interest_calc_type</t>
        </is>
      </c>
      <c r="F245" s="2" t="inlineStr">
        <is>
          <t>이자 계산 방식(단리/복리) 기준으로 국민은행 'KB Star 정기예금'은(는) 어느 쪽인가?</t>
        </is>
      </c>
      <c r="G245" s="2" t="inlineStr">
        <is>
          <t>span</t>
        </is>
      </c>
      <c r="H245" s="2" t="inlineStr">
        <is>
          <t>단리</t>
        </is>
      </c>
      <c r="I245" s="2" t="inlineStr"/>
      <c r="J245" s="2" t="inlineStr">
        <is>
          <t>금융감독원 금융상품통합비교공시 Open API (finlife.fss.or.kr), 202608</t>
        </is>
      </c>
      <c r="K245" s="2" t="inlineStr">
        <is>
          <t>국민은행:010300100335:intr_rate_type_nm</t>
        </is>
      </c>
      <c r="L245" s="2" t="inlineStr">
        <is>
          <t>단리</t>
        </is>
      </c>
    </row>
    <row r="246">
      <c r="A246" s="2" t="inlineStr">
        <is>
          <t>PRD-0245</t>
        </is>
      </c>
      <c r="B246" s="2" t="inlineStr">
        <is>
          <t>공시형</t>
        </is>
      </c>
      <c r="C246" s="2" t="inlineStr">
        <is>
          <t>예금</t>
        </is>
      </c>
      <c r="D246" s="2" t="inlineStr">
        <is>
          <t>정기예금</t>
        </is>
      </c>
      <c r="E246" s="2" t="inlineStr">
        <is>
          <t>interest_calc_type</t>
        </is>
      </c>
      <c r="F246" s="2" t="inlineStr">
        <is>
          <t>농협은행주식회사 'NH왈츠회전예금 II'은(는) 단리와 복리 중 어느 방식으로 이자를 계산하는가?</t>
        </is>
      </c>
      <c r="G246" s="2" t="inlineStr">
        <is>
          <t>span</t>
        </is>
      </c>
      <c r="H246" s="2" t="inlineStr">
        <is>
          <t>단리</t>
        </is>
      </c>
      <c r="I246" s="2" t="inlineStr"/>
      <c r="J246" s="2" t="inlineStr">
        <is>
          <t>금융감독원 금융상품통합비교공시 Open API (finlife.fss.or.kr), 202608</t>
        </is>
      </c>
      <c r="K246" s="2" t="inlineStr">
        <is>
          <t>농협은행주식회사:10-003-1225-0001:intr_rate_type_nm</t>
        </is>
      </c>
      <c r="L246" s="2" t="inlineStr">
        <is>
          <t>단리</t>
        </is>
      </c>
    </row>
    <row r="247">
      <c r="A247" s="2" t="inlineStr">
        <is>
          <t>PRD-0246</t>
        </is>
      </c>
      <c r="B247" s="2" t="inlineStr">
        <is>
          <t>공시형</t>
        </is>
      </c>
      <c r="C247" s="2" t="inlineStr">
        <is>
          <t>예금</t>
        </is>
      </c>
      <c r="D247" s="2" t="inlineStr">
        <is>
          <t>정기예금</t>
        </is>
      </c>
      <c r="E247" s="2" t="inlineStr">
        <is>
          <t>interest_calc_type</t>
        </is>
      </c>
      <c r="F247" s="2" t="inlineStr">
        <is>
          <t>농협은행주식회사 'NH내가Green초록세상예금'의 공시된 이자 계산 방식은 단리인가 복리인가?</t>
        </is>
      </c>
      <c r="G247" s="2" t="inlineStr">
        <is>
          <t>span</t>
        </is>
      </c>
      <c r="H247" s="2" t="inlineStr">
        <is>
          <t>단리</t>
        </is>
      </c>
      <c r="I247" s="2" t="inlineStr"/>
      <c r="J247" s="2" t="inlineStr">
        <is>
          <t>금융감독원 금융상품통합비교공시 Open API (finlife.fss.or.kr), 202608</t>
        </is>
      </c>
      <c r="K247" s="2" t="inlineStr">
        <is>
          <t>농협은행주식회사:10-003-1381-0001:intr_rate_type_nm</t>
        </is>
      </c>
      <c r="L247" s="2" t="inlineStr">
        <is>
          <t>단리</t>
        </is>
      </c>
    </row>
    <row r="248">
      <c r="A248" s="2" t="inlineStr">
        <is>
          <t>PRD-0247</t>
        </is>
      </c>
      <c r="B248" s="2" t="inlineStr">
        <is>
          <t>공시형</t>
        </is>
      </c>
      <c r="C248" s="2" t="inlineStr">
        <is>
          <t>예금</t>
        </is>
      </c>
      <c r="D248" s="2" t="inlineStr">
        <is>
          <t>정기예금</t>
        </is>
      </c>
      <c r="E248" s="2" t="inlineStr">
        <is>
          <t>interest_calc_type</t>
        </is>
      </c>
      <c r="F248" s="2" t="inlineStr">
        <is>
          <t>농협은행주식회사 'NH올원e예금'은(는) 단리와 복리 중 어느 방식으로 이자를 계산하는가?</t>
        </is>
      </c>
      <c r="G248" s="2" t="inlineStr">
        <is>
          <t>span</t>
        </is>
      </c>
      <c r="H248" s="2" t="inlineStr">
        <is>
          <t>단리</t>
        </is>
      </c>
      <c r="I248" s="2" t="inlineStr"/>
      <c r="J248" s="2" t="inlineStr">
        <is>
          <t>금융감독원 금융상품통합비교공시 Open API (finlife.fss.or.kr), 202608</t>
        </is>
      </c>
      <c r="K248" s="2" t="inlineStr">
        <is>
          <t>농협은행주식회사:10-003-1384-0001:intr_rate_type_nm</t>
        </is>
      </c>
      <c r="L248" s="2" t="inlineStr">
        <is>
          <t>단리</t>
        </is>
      </c>
    </row>
    <row r="249">
      <c r="A249" s="2" t="inlineStr">
        <is>
          <t>PRD-0248</t>
        </is>
      </c>
      <c r="B249" s="2" t="inlineStr">
        <is>
          <t>공시형</t>
        </is>
      </c>
      <c r="C249" s="2" t="inlineStr">
        <is>
          <t>예금</t>
        </is>
      </c>
      <c r="D249" s="2" t="inlineStr">
        <is>
          <t>정기예금</t>
        </is>
      </c>
      <c r="E249" s="2" t="inlineStr">
        <is>
          <t>interest_calc_type</t>
        </is>
      </c>
      <c r="F249" s="2" t="inlineStr">
        <is>
          <t>이자 계산 방식(단리/복리) 기준으로 농협은행주식회사 'NH고향사랑기부예금'은(는) 어느 쪽인가?</t>
        </is>
      </c>
      <c r="G249" s="2" t="inlineStr">
        <is>
          <t>span</t>
        </is>
      </c>
      <c r="H249" s="2" t="inlineStr">
        <is>
          <t>단리</t>
        </is>
      </c>
      <c r="I249" s="2" t="inlineStr"/>
      <c r="J249" s="2" t="inlineStr">
        <is>
          <t>금융감독원 금융상품통합비교공시 Open API (finlife.fss.or.kr), 202608</t>
        </is>
      </c>
      <c r="K249" s="2" t="inlineStr">
        <is>
          <t>농협은행주식회사:10-003-1387-0001:intr_rate_type_nm</t>
        </is>
      </c>
      <c r="L249" s="2" t="inlineStr">
        <is>
          <t>단리</t>
        </is>
      </c>
    </row>
    <row r="250">
      <c r="A250" s="2" t="inlineStr">
        <is>
          <t>PRD-0249</t>
        </is>
      </c>
      <c r="B250" s="2" t="inlineStr">
        <is>
          <t>공시형</t>
        </is>
      </c>
      <c r="C250" s="2" t="inlineStr">
        <is>
          <t>예금</t>
        </is>
      </c>
      <c r="D250" s="2" t="inlineStr">
        <is>
          <t>정기예금</t>
        </is>
      </c>
      <c r="E250" s="2" t="inlineStr">
        <is>
          <t>interest_calc_type</t>
        </is>
      </c>
      <c r="F250" s="2" t="inlineStr">
        <is>
          <t>이자 계산 방식(단리/복리) 기준으로 부산은행 'LIVE정기예금'은(는) 어느 쪽인가?</t>
        </is>
      </c>
      <c r="G250" s="2" t="inlineStr">
        <is>
          <t>span</t>
        </is>
      </c>
      <c r="H250" s="2" t="inlineStr">
        <is>
          <t>단리</t>
        </is>
      </c>
      <c r="I250" s="2" t="inlineStr"/>
      <c r="J250" s="2" t="inlineStr">
        <is>
          <t>금융감독원 금융상품통합비교공시 Open API (finlife.fss.or.kr), 202608</t>
        </is>
      </c>
      <c r="K250" s="2" t="inlineStr">
        <is>
          <t>부산은행:01030500510002:intr_rate_type_nm</t>
        </is>
      </c>
      <c r="L250" s="2" t="inlineStr">
        <is>
          <t>단리</t>
        </is>
      </c>
    </row>
    <row r="251">
      <c r="A251" s="2" t="inlineStr">
        <is>
          <t>PRD-0250</t>
        </is>
      </c>
      <c r="B251" s="2" t="inlineStr">
        <is>
          <t>공시형</t>
        </is>
      </c>
      <c r="C251" s="2" t="inlineStr">
        <is>
          <t>예금</t>
        </is>
      </c>
      <c r="D251" s="2" t="inlineStr">
        <is>
          <t>정기예금</t>
        </is>
      </c>
      <c r="E251" s="2" t="inlineStr">
        <is>
          <t>interest_calc_type</t>
        </is>
      </c>
      <c r="F251" s="2" t="inlineStr">
        <is>
          <t>부산은행 '더(The) 특판 정기예금'은(는) 단리와 복리 중 어느 방식으로 이자를 계산하는가?</t>
        </is>
      </c>
      <c r="G251" s="2" t="inlineStr">
        <is>
          <t>span</t>
        </is>
      </c>
      <c r="H251" s="2" t="inlineStr">
        <is>
          <t>단리</t>
        </is>
      </c>
      <c r="I251" s="2" t="inlineStr"/>
      <c r="J251" s="2" t="inlineStr">
        <is>
          <t>금융감독원 금융상품통합비교공시 Open API (finlife.fss.or.kr), 202608</t>
        </is>
      </c>
      <c r="K251" s="2" t="inlineStr">
        <is>
          <t>부산은행:01030500560002:intr_rate_type_nm</t>
        </is>
      </c>
      <c r="L251" s="2" t="inlineStr">
        <is>
          <t>단리</t>
        </is>
      </c>
    </row>
    <row r="252">
      <c r="A252" s="2" t="inlineStr">
        <is>
          <t>PRD-0251</t>
        </is>
      </c>
      <c r="B252" s="2" t="inlineStr">
        <is>
          <t>공시형</t>
        </is>
      </c>
      <c r="C252" s="2" t="inlineStr">
        <is>
          <t>예금</t>
        </is>
      </c>
      <c r="D252" s="2" t="inlineStr">
        <is>
          <t>정기예금</t>
        </is>
      </c>
      <c r="E252" s="2" t="inlineStr">
        <is>
          <t>interest_calc_type</t>
        </is>
      </c>
      <c r="F252" s="2" t="inlineStr">
        <is>
          <t>부산은행 '더(The) 레벨업 정기예금'의 공시된 이자 계산 방식은 단리인가 복리인가?</t>
        </is>
      </c>
      <c r="G252" s="2" t="inlineStr">
        <is>
          <t>span</t>
        </is>
      </c>
      <c r="H252" s="2" t="inlineStr">
        <is>
          <t>단리</t>
        </is>
      </c>
      <c r="I252" s="2" t="inlineStr"/>
      <c r="J252" s="2" t="inlineStr">
        <is>
          <t>금융감독원 금융상품통합비교공시 Open API (finlife.fss.or.kr), 202608</t>
        </is>
      </c>
      <c r="K252" s="2" t="inlineStr">
        <is>
          <t>부산은행:01030500600002:intr_rate_type_nm</t>
        </is>
      </c>
      <c r="L252" s="2" t="inlineStr">
        <is>
          <t>단리</t>
        </is>
      </c>
    </row>
    <row r="253">
      <c r="A253" s="2" t="inlineStr">
        <is>
          <t>PRD-0252</t>
        </is>
      </c>
      <c r="B253" s="2" t="inlineStr">
        <is>
          <t>공시형</t>
        </is>
      </c>
      <c r="C253" s="2" t="inlineStr">
        <is>
          <t>예금</t>
        </is>
      </c>
      <c r="D253" s="2" t="inlineStr">
        <is>
          <t>정기예금</t>
        </is>
      </c>
      <c r="E253" s="2" t="inlineStr">
        <is>
          <t>interest_calc_type</t>
        </is>
      </c>
      <c r="F253" s="2" t="inlineStr">
        <is>
          <t>수협은행 'Sh해양플라스틱Zero!예금 (만기일시지급식)'의 공시된 이자 계산 방식은 단리인가 복리인가?</t>
        </is>
      </c>
      <c r="G253" s="2" t="inlineStr">
        <is>
          <t>span</t>
        </is>
      </c>
      <c r="H253" s="2" t="inlineStr">
        <is>
          <t>단리</t>
        </is>
      </c>
      <c r="I253" s="2" t="inlineStr"/>
      <c r="J253" s="2" t="inlineStr">
        <is>
          <t>금융감독원 금융상품통합비교공시 Open API (finlife.fss.or.kr), 202608</t>
        </is>
      </c>
      <c r="K253" s="2" t="inlineStr">
        <is>
          <t>수협은행:10120114300011:intr_rate_type_nm</t>
        </is>
      </c>
      <c r="L253" s="2" t="inlineStr">
        <is>
          <t>단리</t>
        </is>
      </c>
    </row>
    <row r="254">
      <c r="A254" s="2" t="inlineStr">
        <is>
          <t>PRD-0253</t>
        </is>
      </c>
      <c r="B254" s="2" t="inlineStr">
        <is>
          <t>공시형</t>
        </is>
      </c>
      <c r="C254" s="2" t="inlineStr">
        <is>
          <t>예금</t>
        </is>
      </c>
      <c r="D254" s="2" t="inlineStr">
        <is>
          <t>정기예금</t>
        </is>
      </c>
      <c r="E254" s="2" t="inlineStr">
        <is>
          <t>interest_calc_type</t>
        </is>
      </c>
      <c r="F254" s="2" t="inlineStr">
        <is>
          <t>수협은행 '헤이(Hey)정기예금'은(는) 단리와 복리 중 어느 방식으로 이자를 계산하는가?</t>
        </is>
      </c>
      <c r="G254" s="2" t="inlineStr">
        <is>
          <t>span</t>
        </is>
      </c>
      <c r="H254" s="2" t="inlineStr">
        <is>
          <t>단리</t>
        </is>
      </c>
      <c r="I254" s="2" t="inlineStr"/>
      <c r="J254" s="2" t="inlineStr">
        <is>
          <t>금융감독원 금융상품통합비교공시 Open API (finlife.fss.or.kr), 202608</t>
        </is>
      </c>
      <c r="K254" s="2" t="inlineStr">
        <is>
          <t>수협은행:10120114700011:intr_rate_type_nm</t>
        </is>
      </c>
      <c r="L254" s="2" t="inlineStr">
        <is>
          <t>단리</t>
        </is>
      </c>
    </row>
    <row r="255">
      <c r="A255" s="2" t="inlineStr">
        <is>
          <t>PRD-0254</t>
        </is>
      </c>
      <c r="B255" s="2" t="inlineStr">
        <is>
          <t>공시형</t>
        </is>
      </c>
      <c r="C255" s="2" t="inlineStr">
        <is>
          <t>예금</t>
        </is>
      </c>
      <c r="D255" s="2" t="inlineStr">
        <is>
          <t>정기예금</t>
        </is>
      </c>
      <c r="E255" s="2" t="inlineStr">
        <is>
          <t>interest_calc_type</t>
        </is>
      </c>
      <c r="F255" s="2" t="inlineStr">
        <is>
          <t>수협은행 'Sh첫만남우대예금'은(는) 단리와 복리 중 어느 방식으로 이자를 계산하는가?</t>
        </is>
      </c>
      <c r="G255" s="2" t="inlineStr">
        <is>
          <t>span</t>
        </is>
      </c>
      <c r="H255" s="2" t="inlineStr">
        <is>
          <t>단리</t>
        </is>
      </c>
      <c r="I255" s="2" t="inlineStr"/>
      <c r="J255" s="2" t="inlineStr">
        <is>
          <t>금융감독원 금융상품통합비교공시 Open API (finlife.fss.or.kr), 202608</t>
        </is>
      </c>
      <c r="K255" s="2" t="inlineStr">
        <is>
          <t>수협은행:10120116100011:intr_rate_type_nm</t>
        </is>
      </c>
      <c r="L255" s="2" t="inlineStr">
        <is>
          <t>단리</t>
        </is>
      </c>
    </row>
    <row r="256">
      <c r="A256" s="2" t="inlineStr">
        <is>
          <t>PRD-0255</t>
        </is>
      </c>
      <c r="B256" s="2" t="inlineStr">
        <is>
          <t>공시형</t>
        </is>
      </c>
      <c r="C256" s="2" t="inlineStr">
        <is>
          <t>예금</t>
        </is>
      </c>
      <c r="D256" s="2" t="inlineStr">
        <is>
          <t>정기예금</t>
        </is>
      </c>
      <c r="E256" s="2" t="inlineStr">
        <is>
          <t>interest_calc_type</t>
        </is>
      </c>
      <c r="F256" s="2" t="inlineStr">
        <is>
          <t>이자 계산 방식(단리/복리) 기준으로 신한은행 '신한My플러스 정기예금'은(는) 어느 쪽인가?</t>
        </is>
      </c>
      <c r="G256" s="2" t="inlineStr">
        <is>
          <t>span</t>
        </is>
      </c>
      <c r="H256" s="2" t="inlineStr">
        <is>
          <t>단리</t>
        </is>
      </c>
      <c r="I256" s="2" t="inlineStr"/>
      <c r="J256" s="2" t="inlineStr">
        <is>
          <t>금융감독원 금융상품통합비교공시 Open API (finlife.fss.or.kr), 202608</t>
        </is>
      </c>
      <c r="K256" s="2" t="inlineStr">
        <is>
          <t>신한은행:207-0134-16:intr_rate_type_nm</t>
        </is>
      </c>
      <c r="L256" s="2" t="inlineStr">
        <is>
          <t>단리</t>
        </is>
      </c>
    </row>
    <row r="257">
      <c r="A257" s="2" t="inlineStr">
        <is>
          <t>PRD-0256</t>
        </is>
      </c>
      <c r="B257" s="2" t="inlineStr">
        <is>
          <t>공시형</t>
        </is>
      </c>
      <c r="C257" s="2" t="inlineStr">
        <is>
          <t>예금</t>
        </is>
      </c>
      <c r="D257" s="2" t="inlineStr">
        <is>
          <t>정기예금</t>
        </is>
      </c>
      <c r="E257" s="2" t="inlineStr">
        <is>
          <t>interest_calc_type</t>
        </is>
      </c>
      <c r="F257" s="2" t="inlineStr">
        <is>
          <t>신한은행 '쏠편한 정기예금'은(는) 단리와 복리 중 어느 방식으로 이자를 계산하는가?</t>
        </is>
      </c>
      <c r="G257" s="2" t="inlineStr">
        <is>
          <t>span</t>
        </is>
      </c>
      <c r="H257" s="2" t="inlineStr">
        <is>
          <t>단리</t>
        </is>
      </c>
      <c r="I257" s="2" t="inlineStr"/>
      <c r="J257" s="2" t="inlineStr">
        <is>
          <t>금융감독원 금융상품통합비교공시 Open API (finlife.fss.or.kr), 202608</t>
        </is>
      </c>
      <c r="K257" s="2" t="inlineStr">
        <is>
          <t>신한은행:207-0135-12:intr_rate_type_nm</t>
        </is>
      </c>
      <c r="L257" s="2" t="inlineStr">
        <is>
          <t>단리</t>
        </is>
      </c>
    </row>
    <row r="258">
      <c r="A258" s="2" t="inlineStr">
        <is>
          <t>PRD-0257</t>
        </is>
      </c>
      <c r="B258" s="2" t="inlineStr">
        <is>
          <t>공시형</t>
        </is>
      </c>
      <c r="C258" s="2" t="inlineStr">
        <is>
          <t>대출</t>
        </is>
      </c>
      <c r="D258" s="2" t="inlineStr">
        <is>
          <t>주택담보대출</t>
        </is>
      </c>
      <c r="E258" s="2" t="inlineStr">
        <is>
          <t>loan_min_rate</t>
        </is>
      </c>
      <c r="F258" s="2" t="inlineStr">
        <is>
          <t>경남은행 '집집마다 도움대출II'의 아파트 담보 변동금리 방식 최저금리는 연 몇 %인가?</t>
        </is>
      </c>
      <c r="G258" s="2" t="inlineStr">
        <is>
          <t>numeric</t>
        </is>
      </c>
      <c r="H258" s="2" t="inlineStr">
        <is>
          <t>4.67</t>
        </is>
      </c>
      <c r="I258" s="2" t="inlineStr">
        <is>
          <t>%</t>
        </is>
      </c>
      <c r="J258" s="2" t="inlineStr">
        <is>
          <t>금융감독원 금융상품통합비교공시 Open API (finlife.fss.or.kr), 202608</t>
        </is>
      </c>
      <c r="K258" s="2" t="inlineStr">
        <is>
          <t>경남은행:30002130:lend_rate_min(아파트/변동금리)</t>
        </is>
      </c>
      <c r="L258" s="2" t="inlineStr">
        <is>
          <t>4.67</t>
        </is>
      </c>
    </row>
    <row r="259">
      <c r="A259" s="2" t="inlineStr">
        <is>
          <t>PRD-0258</t>
        </is>
      </c>
      <c r="B259" s="2" t="inlineStr">
        <is>
          <t>공시형</t>
        </is>
      </c>
      <c r="C259" s="2" t="inlineStr">
        <is>
          <t>대출</t>
        </is>
      </c>
      <c r="D259" s="2" t="inlineStr">
        <is>
          <t>주택담보대출</t>
        </is>
      </c>
      <c r="E259" s="2" t="inlineStr">
        <is>
          <t>loan_min_rate</t>
        </is>
      </c>
      <c r="F259" s="2" t="inlineStr">
        <is>
          <t>경남은행 '집집마다 도움대출II'에서 아파트외 담보 변동금리 방식으로 대출할 때 최저금리는 연 몇 %인가?</t>
        </is>
      </c>
      <c r="G259" s="2" t="inlineStr">
        <is>
          <t>numeric</t>
        </is>
      </c>
      <c r="H259" s="2" t="inlineStr">
        <is>
          <t>4.87</t>
        </is>
      </c>
      <c r="I259" s="2" t="inlineStr">
        <is>
          <t>%</t>
        </is>
      </c>
      <c r="J259" s="2" t="inlineStr">
        <is>
          <t>금융감독원 금융상품통합비교공시 Open API (finlife.fss.or.kr), 202608</t>
        </is>
      </c>
      <c r="K259" s="2" t="inlineStr">
        <is>
          <t>경남은행:30002130:lend_rate_min(아파트외/변동금리)</t>
        </is>
      </c>
      <c r="L259" s="2" t="inlineStr">
        <is>
          <t>4.87</t>
        </is>
      </c>
    </row>
    <row r="260">
      <c r="A260" s="2" t="inlineStr">
        <is>
          <t>PRD-0259</t>
        </is>
      </c>
      <c r="B260" s="2" t="inlineStr">
        <is>
          <t>공시형</t>
        </is>
      </c>
      <c r="C260" s="2" t="inlineStr">
        <is>
          <t>대출</t>
        </is>
      </c>
      <c r="D260" s="2" t="inlineStr">
        <is>
          <t>주택담보대출</t>
        </is>
      </c>
      <c r="E260" s="2" t="inlineStr">
        <is>
          <t>loan_min_rate</t>
        </is>
      </c>
      <c r="F260" s="2" t="inlineStr">
        <is>
          <t>경남은행 '집집마다 도움대출II'의 아파트 담보 고정금리 방식 최저금리는 연 몇 %인가?</t>
        </is>
      </c>
      <c r="G260" s="2" t="inlineStr">
        <is>
          <t>numeric</t>
        </is>
      </c>
      <c r="H260" s="2" t="inlineStr">
        <is>
          <t>5.33</t>
        </is>
      </c>
      <c r="I260" s="2" t="inlineStr">
        <is>
          <t>%</t>
        </is>
      </c>
      <c r="J260" s="2" t="inlineStr">
        <is>
          <t>금융감독원 금융상품통합비교공시 Open API (finlife.fss.or.kr), 202608</t>
        </is>
      </c>
      <c r="K260" s="2" t="inlineStr">
        <is>
          <t>경남은행:30002130:lend_rate_min(아파트/고정금리)</t>
        </is>
      </c>
      <c r="L260" s="2" t="inlineStr">
        <is>
          <t>5.33</t>
        </is>
      </c>
    </row>
    <row r="261">
      <c r="A261" s="2" t="inlineStr">
        <is>
          <t>PRD-0260</t>
        </is>
      </c>
      <c r="B261" s="2" t="inlineStr">
        <is>
          <t>공시형</t>
        </is>
      </c>
      <c r="C261" s="2" t="inlineStr">
        <is>
          <t>대출</t>
        </is>
      </c>
      <c r="D261" s="2" t="inlineStr">
        <is>
          <t>주택담보대출</t>
        </is>
      </c>
      <c r="E261" s="2" t="inlineStr">
        <is>
          <t>loan_min_rate</t>
        </is>
      </c>
      <c r="F261" s="2" t="inlineStr">
        <is>
          <t>경남은행 '집집마다 도움대출II'의 아파트외 담보 고정금리 방식 최저금리는 연 몇 %인가?</t>
        </is>
      </c>
      <c r="G261" s="2" t="inlineStr">
        <is>
          <t>numeric</t>
        </is>
      </c>
      <c r="H261" s="2" t="inlineStr">
        <is>
          <t>5.53</t>
        </is>
      </c>
      <c r="I261" s="2" t="inlineStr">
        <is>
          <t>%</t>
        </is>
      </c>
      <c r="J261" s="2" t="inlineStr">
        <is>
          <t>금융감독원 금융상품통합비교공시 Open API (finlife.fss.or.kr), 202608</t>
        </is>
      </c>
      <c r="K261" s="2" t="inlineStr">
        <is>
          <t>경남은행:30002130:lend_rate_min(아파트외/고정금리)</t>
        </is>
      </c>
      <c r="L261" s="2" t="inlineStr">
        <is>
          <t>5.53</t>
        </is>
      </c>
    </row>
    <row r="262">
      <c r="A262" s="2" t="inlineStr">
        <is>
          <t>PRD-0261</t>
        </is>
      </c>
      <c r="B262" s="2" t="inlineStr">
        <is>
          <t>공시형</t>
        </is>
      </c>
      <c r="C262" s="2" t="inlineStr">
        <is>
          <t>대출</t>
        </is>
      </c>
      <c r="D262" s="2" t="inlineStr">
        <is>
          <t>주택담보대출</t>
        </is>
      </c>
      <c r="E262" s="2" t="inlineStr">
        <is>
          <t>loan_min_rate</t>
        </is>
      </c>
      <c r="F262" s="2" t="inlineStr">
        <is>
          <t>경남은행 'BNK모바일주택담보대출'의 아파트 담보 변동금리 방식 최저금리는 연 몇 %인가?</t>
        </is>
      </c>
      <c r="G262" s="2" t="inlineStr">
        <is>
          <t>numeric</t>
        </is>
      </c>
      <c r="H262" s="2" t="inlineStr">
        <is>
          <t>4.26</t>
        </is>
      </c>
      <c r="I262" s="2" t="inlineStr">
        <is>
          <t>%</t>
        </is>
      </c>
      <c r="J262" s="2" t="inlineStr">
        <is>
          <t>금융감독원 금융상품통합비교공시 Open API (finlife.fss.or.kr), 202608</t>
        </is>
      </c>
      <c r="K262" s="2" t="inlineStr">
        <is>
          <t>경남은행:30002497:lend_rate_min(아파트/변동금리)</t>
        </is>
      </c>
      <c r="L262" s="2" t="inlineStr">
        <is>
          <t>4.26</t>
        </is>
      </c>
    </row>
    <row r="263">
      <c r="A263" s="2" t="inlineStr">
        <is>
          <t>PRD-0262</t>
        </is>
      </c>
      <c r="B263" s="2" t="inlineStr">
        <is>
          <t>공시형</t>
        </is>
      </c>
      <c r="C263" s="2" t="inlineStr">
        <is>
          <t>대출</t>
        </is>
      </c>
      <c r="D263" s="2" t="inlineStr">
        <is>
          <t>주택담보대출</t>
        </is>
      </c>
      <c r="E263" s="2" t="inlineStr">
        <is>
          <t>loan_min_rate</t>
        </is>
      </c>
      <c r="F263" s="2" t="inlineStr">
        <is>
          <t>경남은행 'BNK모바일주택담보대출'의 아파트 담보 고정금리 방식 최저금리는 연 몇 %인가?</t>
        </is>
      </c>
      <c r="G263" s="2" t="inlineStr">
        <is>
          <t>numeric</t>
        </is>
      </c>
      <c r="H263" s="2" t="inlineStr">
        <is>
          <t>5.33</t>
        </is>
      </c>
      <c r="I263" s="2" t="inlineStr">
        <is>
          <t>%</t>
        </is>
      </c>
      <c r="J263" s="2" t="inlineStr">
        <is>
          <t>금융감독원 금융상품통합비교공시 Open API (finlife.fss.or.kr), 202608</t>
        </is>
      </c>
      <c r="K263" s="2" t="inlineStr">
        <is>
          <t>경남은행:30002497:lend_rate_min(아파트/고정금리)</t>
        </is>
      </c>
      <c r="L263" s="2" t="inlineStr">
        <is>
          <t>5.33</t>
        </is>
      </c>
    </row>
    <row r="264">
      <c r="A264" s="2" t="inlineStr">
        <is>
          <t>PRD-0263</t>
        </is>
      </c>
      <c r="B264" s="2" t="inlineStr">
        <is>
          <t>공시형</t>
        </is>
      </c>
      <c r="C264" s="2" t="inlineStr">
        <is>
          <t>대출</t>
        </is>
      </c>
      <c r="D264" s="2" t="inlineStr">
        <is>
          <t>주택담보대출</t>
        </is>
      </c>
      <c r="E264" s="2" t="inlineStr">
        <is>
          <t>loan_min_rate</t>
        </is>
      </c>
      <c r="F264" s="2" t="inlineStr">
        <is>
          <t>경남은행 'BNK모바일주택담보대출'의 아파트외 담보 변동금리 방식 최저금리는 연 몇 %인가?</t>
        </is>
      </c>
      <c r="G264" s="2" t="inlineStr">
        <is>
          <t>numeric</t>
        </is>
      </c>
      <c r="H264" s="2" t="inlineStr">
        <is>
          <t>4.46</t>
        </is>
      </c>
      <c r="I264" s="2" t="inlineStr">
        <is>
          <t>%</t>
        </is>
      </c>
      <c r="J264" s="2" t="inlineStr">
        <is>
          <t>금융감독원 금융상품통합비교공시 Open API (finlife.fss.or.kr), 202608</t>
        </is>
      </c>
      <c r="K264" s="2" t="inlineStr">
        <is>
          <t>경남은행:30002497:lend_rate_min(아파트외/변동금리)</t>
        </is>
      </c>
      <c r="L264" s="2" t="inlineStr">
        <is>
          <t>4.46</t>
        </is>
      </c>
    </row>
    <row r="265">
      <c r="A265" s="2" t="inlineStr">
        <is>
          <t>PRD-0264</t>
        </is>
      </c>
      <c r="B265" s="2" t="inlineStr">
        <is>
          <t>공시형</t>
        </is>
      </c>
      <c r="C265" s="2" t="inlineStr">
        <is>
          <t>대출</t>
        </is>
      </c>
      <c r="D265" s="2" t="inlineStr">
        <is>
          <t>주택담보대출</t>
        </is>
      </c>
      <c r="E265" s="2" t="inlineStr">
        <is>
          <t>loan_min_rate</t>
        </is>
      </c>
      <c r="F265" s="2" t="inlineStr">
        <is>
          <t>경남은행 'BNK모바일주택담보대출'에서 아파트외 담보 고정금리 방식으로 대출할 때 최저금리는 연 몇 %인가?</t>
        </is>
      </c>
      <c r="G265" s="2" t="inlineStr">
        <is>
          <t>numeric</t>
        </is>
      </c>
      <c r="H265" s="2" t="inlineStr">
        <is>
          <t>5.53</t>
        </is>
      </c>
      <c r="I265" s="2" t="inlineStr">
        <is>
          <t>%</t>
        </is>
      </c>
      <c r="J265" s="2" t="inlineStr">
        <is>
          <t>금융감독원 금융상품통합비교공시 Open API (finlife.fss.or.kr), 202608</t>
        </is>
      </c>
      <c r="K265" s="2" t="inlineStr">
        <is>
          <t>경남은행:30002497:lend_rate_min(아파트외/고정금리)</t>
        </is>
      </c>
      <c r="L265" s="2" t="inlineStr">
        <is>
          <t>5.53</t>
        </is>
      </c>
    </row>
    <row r="266">
      <c r="A266" s="2" t="inlineStr">
        <is>
          <t>PRD-0265</t>
        </is>
      </c>
      <c r="B266" s="2" t="inlineStr">
        <is>
          <t>공시형</t>
        </is>
      </c>
      <c r="C266" s="2" t="inlineStr">
        <is>
          <t>대출</t>
        </is>
      </c>
      <c r="D266" s="2" t="inlineStr">
        <is>
          <t>주택담보대출</t>
        </is>
      </c>
      <c r="E266" s="2" t="inlineStr">
        <is>
          <t>loan_min_rate</t>
        </is>
      </c>
      <c r="F266" s="2" t="inlineStr">
        <is>
          <t>광주은행 'KJB셀렉트 주택담보대출'의 아파트 담보 변동금리 방식 최저금리는 연 몇 %인가?</t>
        </is>
      </c>
      <c r="G266" s="2" t="inlineStr">
        <is>
          <t>numeric</t>
        </is>
      </c>
      <c r="H266" s="2" t="inlineStr">
        <is>
          <t>4.59</t>
        </is>
      </c>
      <c r="I266" s="2" t="inlineStr">
        <is>
          <t>%</t>
        </is>
      </c>
      <c r="J266" s="2" t="inlineStr">
        <is>
          <t>금융감독원 금융상품통합비교공시 Open API (finlife.fss.or.kr), 202608</t>
        </is>
      </c>
      <c r="K266" s="2" t="inlineStr">
        <is>
          <t>광주은행:LN11010001732:lend_rate_min(아파트/변동금리)</t>
        </is>
      </c>
      <c r="L266" s="2" t="inlineStr">
        <is>
          <t>4.59</t>
        </is>
      </c>
    </row>
    <row r="267">
      <c r="A267" s="2" t="inlineStr">
        <is>
          <t>PRD-0266</t>
        </is>
      </c>
      <c r="B267" s="2" t="inlineStr">
        <is>
          <t>공시형</t>
        </is>
      </c>
      <c r="C267" s="2" t="inlineStr">
        <is>
          <t>대출</t>
        </is>
      </c>
      <c r="D267" s="2" t="inlineStr">
        <is>
          <t>주택담보대출</t>
        </is>
      </c>
      <c r="E267" s="2" t="inlineStr">
        <is>
          <t>loan_min_rate</t>
        </is>
      </c>
      <c r="F267" s="2" t="inlineStr">
        <is>
          <t>광주은행 'KJB셀렉트 주택담보대출'의 아파트외 담보 변동금리 방식 최저금리는 연 몇 %인가?</t>
        </is>
      </c>
      <c r="G267" s="2" t="inlineStr">
        <is>
          <t>numeric</t>
        </is>
      </c>
      <c r="H267" s="2" t="inlineStr">
        <is>
          <t>4.73</t>
        </is>
      </c>
      <c r="I267" s="2" t="inlineStr">
        <is>
          <t>%</t>
        </is>
      </c>
      <c r="J267" s="2" t="inlineStr">
        <is>
          <t>금융감독원 금융상품통합비교공시 Open API (finlife.fss.or.kr), 202608</t>
        </is>
      </c>
      <c r="K267" s="2" t="inlineStr">
        <is>
          <t>광주은행:LN11010001732:lend_rate_min(아파트외/변동금리)</t>
        </is>
      </c>
      <c r="L267" s="2" t="inlineStr">
        <is>
          <t>4.73</t>
        </is>
      </c>
    </row>
    <row r="268">
      <c r="A268" s="2" t="inlineStr">
        <is>
          <t>PRD-0267</t>
        </is>
      </c>
      <c r="B268" s="2" t="inlineStr">
        <is>
          <t>공시형</t>
        </is>
      </c>
      <c r="C268" s="2" t="inlineStr">
        <is>
          <t>대출</t>
        </is>
      </c>
      <c r="D268" s="2" t="inlineStr">
        <is>
          <t>주택담보대출</t>
        </is>
      </c>
      <c r="E268" s="2" t="inlineStr">
        <is>
          <t>loan_min_rate</t>
        </is>
      </c>
      <c r="F268" s="2" t="inlineStr">
        <is>
          <t>아파트 담보 고정금리 조건에서 광주은행 'KJB셀렉트 주택담보대출' 상품이 공시한 최저금리는 연 몇 %인가?</t>
        </is>
      </c>
      <c r="G268" s="2" t="inlineStr">
        <is>
          <t>numeric</t>
        </is>
      </c>
      <c r="H268" s="2" t="inlineStr">
        <is>
          <t>5.52</t>
        </is>
      </c>
      <c r="I268" s="2" t="inlineStr">
        <is>
          <t>%</t>
        </is>
      </c>
      <c r="J268" s="2" t="inlineStr">
        <is>
          <t>금융감독원 금융상품통합비교공시 Open API (finlife.fss.or.kr), 202608</t>
        </is>
      </c>
      <c r="K268" s="2" t="inlineStr">
        <is>
          <t>광주은행:LN11010001732:lend_rate_min(아파트/고정금리)</t>
        </is>
      </c>
      <c r="L268" s="2" t="inlineStr">
        <is>
          <t>5.52</t>
        </is>
      </c>
    </row>
    <row r="269">
      <c r="A269" s="2" t="inlineStr">
        <is>
          <t>PRD-0268</t>
        </is>
      </c>
      <c r="B269" s="2" t="inlineStr">
        <is>
          <t>공시형</t>
        </is>
      </c>
      <c r="C269" s="2" t="inlineStr">
        <is>
          <t>대출</t>
        </is>
      </c>
      <c r="D269" s="2" t="inlineStr">
        <is>
          <t>주택담보대출</t>
        </is>
      </c>
      <c r="E269" s="2" t="inlineStr">
        <is>
          <t>loan_min_rate</t>
        </is>
      </c>
      <c r="F269" s="2" t="inlineStr">
        <is>
          <t>아파트외 담보 고정금리 조건에서 광주은행 'KJB셀렉트 주택담보대출' 상품이 공시한 최저금리는 연 몇 %인가?</t>
        </is>
      </c>
      <c r="G269" s="2" t="inlineStr">
        <is>
          <t>numeric</t>
        </is>
      </c>
      <c r="H269" s="2" t="inlineStr">
        <is>
          <t>5.66</t>
        </is>
      </c>
      <c r="I269" s="2" t="inlineStr">
        <is>
          <t>%</t>
        </is>
      </c>
      <c r="J269" s="2" t="inlineStr">
        <is>
          <t>금융감독원 금융상품통합비교공시 Open API (finlife.fss.or.kr), 202608</t>
        </is>
      </c>
      <c r="K269" s="2" t="inlineStr">
        <is>
          <t>광주은행:LN11010001732:lend_rate_min(아파트외/고정금리)</t>
        </is>
      </c>
      <c r="L269" s="2" t="inlineStr">
        <is>
          <t>5.66</t>
        </is>
      </c>
    </row>
    <row r="270">
      <c r="A270" s="2" t="inlineStr">
        <is>
          <t>PRD-0269</t>
        </is>
      </c>
      <c r="B270" s="2" t="inlineStr">
        <is>
          <t>공시형</t>
        </is>
      </c>
      <c r="C270" s="2" t="inlineStr">
        <is>
          <t>대출</t>
        </is>
      </c>
      <c r="D270" s="2" t="inlineStr">
        <is>
          <t>주택담보대출</t>
        </is>
      </c>
      <c r="E270" s="2" t="inlineStr">
        <is>
          <t>loan_min_rate</t>
        </is>
      </c>
      <c r="F270" s="2" t="inlineStr">
        <is>
          <t>아파트 담보 변동금리 조건에서 국민은행 'KB주택담보대출변동 (일반자금)' 상품이 공시한 최저금리는 연 몇 %인가?</t>
        </is>
      </c>
      <c r="G270" s="2" t="inlineStr">
        <is>
          <t>numeric</t>
        </is>
      </c>
      <c r="H270" s="2" t="inlineStr">
        <is>
          <t>4.7</t>
        </is>
      </c>
      <c r="I270" s="2" t="inlineStr">
        <is>
          <t>%</t>
        </is>
      </c>
      <c r="J270" s="2" t="inlineStr">
        <is>
          <t>금융감독원 금융상품통합비교공시 Open API (finlife.fss.or.kr), 202608</t>
        </is>
      </c>
      <c r="K270" s="2" t="inlineStr">
        <is>
          <t>국민은행:KB200300000002:lend_rate_min(아파트/변동금리)</t>
        </is>
      </c>
      <c r="L270" s="2" t="inlineStr">
        <is>
          <t>4.7</t>
        </is>
      </c>
    </row>
    <row r="271">
      <c r="A271" s="2" t="inlineStr">
        <is>
          <t>PRD-0270</t>
        </is>
      </c>
      <c r="B271" s="2" t="inlineStr">
        <is>
          <t>공시형</t>
        </is>
      </c>
      <c r="C271" s="2" t="inlineStr">
        <is>
          <t>대출</t>
        </is>
      </c>
      <c r="D271" s="2" t="inlineStr">
        <is>
          <t>주택담보대출</t>
        </is>
      </c>
      <c r="E271" s="2" t="inlineStr">
        <is>
          <t>loan_min_rate</t>
        </is>
      </c>
      <c r="F271" s="2" t="inlineStr">
        <is>
          <t>국민은행 'KB주택담보대출변동 (일반자금)'에서 아파트외 담보 변동금리 방식으로 대출할 때 최저금리는 연 몇 %인가?</t>
        </is>
      </c>
      <c r="G271" s="2" t="inlineStr">
        <is>
          <t>numeric</t>
        </is>
      </c>
      <c r="H271" s="2" t="inlineStr">
        <is>
          <t>4.7</t>
        </is>
      </c>
      <c r="I271" s="2" t="inlineStr">
        <is>
          <t>%</t>
        </is>
      </c>
      <c r="J271" s="2" t="inlineStr">
        <is>
          <t>금융감독원 금융상품통합비교공시 Open API (finlife.fss.or.kr), 202608</t>
        </is>
      </c>
      <c r="K271" s="2" t="inlineStr">
        <is>
          <t>국민은행:KB200300000002:lend_rate_min(아파트외/변동금리)</t>
        </is>
      </c>
      <c r="L271" s="2" t="inlineStr">
        <is>
          <t>4.7</t>
        </is>
      </c>
    </row>
    <row r="272">
      <c r="A272" s="2" t="inlineStr">
        <is>
          <t>PRD-0271</t>
        </is>
      </c>
      <c r="B272" s="2" t="inlineStr">
        <is>
          <t>공시형</t>
        </is>
      </c>
      <c r="C272" s="2" t="inlineStr">
        <is>
          <t>대출</t>
        </is>
      </c>
      <c r="D272" s="2" t="inlineStr">
        <is>
          <t>주택담보대출</t>
        </is>
      </c>
      <c r="E272" s="2" t="inlineStr">
        <is>
          <t>loan_min_rate</t>
        </is>
      </c>
      <c r="F272" s="2" t="inlineStr">
        <is>
          <t>국민은행 'KB스타 아파트담보대출 혼합금리(주택자금)'에서 아파트 담보 고정금리 방식으로 대출할 때 최저금리는 연 몇 %인가?</t>
        </is>
      </c>
      <c r="G272" s="2" t="inlineStr">
        <is>
          <t>numeric</t>
        </is>
      </c>
      <c r="H272" s="2" t="inlineStr">
        <is>
          <t>5.59</t>
        </is>
      </c>
      <c r="I272" s="2" t="inlineStr">
        <is>
          <t>%</t>
        </is>
      </c>
      <c r="J272" s="2" t="inlineStr">
        <is>
          <t>금융감독원 금융상품통합비교공시 Open API (finlife.fss.or.kr), 202608</t>
        </is>
      </c>
      <c r="K272" s="2" t="inlineStr">
        <is>
          <t>국민은행:KB200331100045:lend_rate_min(아파트/고정금리)</t>
        </is>
      </c>
      <c r="L272" s="2" t="inlineStr">
        <is>
          <t>5.59</t>
        </is>
      </c>
    </row>
    <row r="273">
      <c r="A273" s="2" t="inlineStr">
        <is>
          <t>PRD-0272</t>
        </is>
      </c>
      <c r="B273" s="2" t="inlineStr">
        <is>
          <t>공시형</t>
        </is>
      </c>
      <c r="C273" s="2" t="inlineStr">
        <is>
          <t>대출</t>
        </is>
      </c>
      <c r="D273" s="2" t="inlineStr">
        <is>
          <t>주택담보대출</t>
        </is>
      </c>
      <c r="E273" s="2" t="inlineStr">
        <is>
          <t>loan_min_rate</t>
        </is>
      </c>
      <c r="F273" s="2" t="inlineStr">
        <is>
          <t>아파트 담보 변동금리 조건에서 농협은행주식회사 'NH주택담보대출' 상품이 공시한 최저금리는 연 몇 %인가?</t>
        </is>
      </c>
      <c r="G273" s="2" t="inlineStr">
        <is>
          <t>numeric</t>
        </is>
      </c>
      <c r="H273" s="2" t="inlineStr">
        <is>
          <t>4.32</t>
        </is>
      </c>
      <c r="I273" s="2" t="inlineStr">
        <is>
          <t>%</t>
        </is>
      </c>
      <c r="J273" s="2" t="inlineStr">
        <is>
          <t>금융감독원 금융상품통합비교공시 Open API (finlife.fss.or.kr), 202608</t>
        </is>
      </c>
      <c r="K273" s="2" t="inlineStr">
        <is>
          <t>농협은행주식회사:2001104780001:lend_rate_min(아파트/변동금리)</t>
        </is>
      </c>
      <c r="L273" s="2" t="inlineStr">
        <is>
          <t>4.32</t>
        </is>
      </c>
    </row>
    <row r="274">
      <c r="A274" s="2" t="inlineStr">
        <is>
          <t>PRD-0273</t>
        </is>
      </c>
      <c r="B274" s="2" t="inlineStr">
        <is>
          <t>공시형</t>
        </is>
      </c>
      <c r="C274" s="2" t="inlineStr">
        <is>
          <t>대출</t>
        </is>
      </c>
      <c r="D274" s="2" t="inlineStr">
        <is>
          <t>주택담보대출</t>
        </is>
      </c>
      <c r="E274" s="2" t="inlineStr">
        <is>
          <t>loan_min_rate</t>
        </is>
      </c>
      <c r="F274" s="2" t="inlineStr">
        <is>
          <t>농협은행주식회사 'NH주택담보대출'에서 아파트외 담보 변동금리 방식으로 대출할 때 최저금리는 연 몇 %인가?</t>
        </is>
      </c>
      <c r="G274" s="2" t="inlineStr">
        <is>
          <t>numeric</t>
        </is>
      </c>
      <c r="H274" s="2" t="inlineStr">
        <is>
          <t>4.32</t>
        </is>
      </c>
      <c r="I274" s="2" t="inlineStr">
        <is>
          <t>%</t>
        </is>
      </c>
      <c r="J274" s="2" t="inlineStr">
        <is>
          <t>금융감독원 금융상품통합비교공시 Open API (finlife.fss.or.kr), 202608</t>
        </is>
      </c>
      <c r="K274" s="2" t="inlineStr">
        <is>
          <t>농협은행주식회사:2001104780001:lend_rate_min(아파트외/변동금리)</t>
        </is>
      </c>
      <c r="L274" s="2" t="inlineStr">
        <is>
          <t>4.32</t>
        </is>
      </c>
    </row>
    <row r="275">
      <c r="A275" s="2" t="inlineStr">
        <is>
          <t>PRD-0274</t>
        </is>
      </c>
      <c r="B275" s="2" t="inlineStr">
        <is>
          <t>공시형</t>
        </is>
      </c>
      <c r="C275" s="2" t="inlineStr">
        <is>
          <t>대출</t>
        </is>
      </c>
      <c r="D275" s="2" t="inlineStr">
        <is>
          <t>주택담보대출</t>
        </is>
      </c>
      <c r="E275" s="2" t="inlineStr">
        <is>
          <t>loan_min_rate</t>
        </is>
      </c>
      <c r="F275" s="2" t="inlineStr">
        <is>
          <t>농협은행주식회사 'NH주택담보대출'의 아파트 담보 고정금리 방식 최저금리는 연 몇 %인가?</t>
        </is>
      </c>
      <c r="G275" s="2" t="inlineStr">
        <is>
          <t>numeric</t>
        </is>
      </c>
      <c r="H275" s="2" t="inlineStr">
        <is>
          <t>5.11</t>
        </is>
      </c>
      <c r="I275" s="2" t="inlineStr">
        <is>
          <t>%</t>
        </is>
      </c>
      <c r="J275" s="2" t="inlineStr">
        <is>
          <t>금융감독원 금융상품통합비교공시 Open API (finlife.fss.or.kr), 202608</t>
        </is>
      </c>
      <c r="K275" s="2" t="inlineStr">
        <is>
          <t>농협은행주식회사:2001104780001:lend_rate_min(아파트/고정금리)</t>
        </is>
      </c>
      <c r="L275" s="2" t="inlineStr">
        <is>
          <t>5.11</t>
        </is>
      </c>
    </row>
    <row r="276">
      <c r="A276" s="2" t="inlineStr">
        <is>
          <t>PRD-0275</t>
        </is>
      </c>
      <c r="B276" s="2" t="inlineStr">
        <is>
          <t>공시형</t>
        </is>
      </c>
      <c r="C276" s="2" t="inlineStr">
        <is>
          <t>대출</t>
        </is>
      </c>
      <c r="D276" s="2" t="inlineStr">
        <is>
          <t>주택담보대출</t>
        </is>
      </c>
      <c r="E276" s="2" t="inlineStr">
        <is>
          <t>loan_min_rate</t>
        </is>
      </c>
      <c r="F276" s="2" t="inlineStr">
        <is>
          <t>아파트외 담보 고정금리 조건에서 농협은행주식회사 'NH주택담보대출' 상품이 공시한 최저금리는 연 몇 %인가?</t>
        </is>
      </c>
      <c r="G276" s="2" t="inlineStr">
        <is>
          <t>numeric</t>
        </is>
      </c>
      <c r="H276" s="2" t="inlineStr">
        <is>
          <t>5.11</t>
        </is>
      </c>
      <c r="I276" s="2" t="inlineStr">
        <is>
          <t>%</t>
        </is>
      </c>
      <c r="J276" s="2" t="inlineStr">
        <is>
          <t>금융감독원 금융상품통합비교공시 Open API (finlife.fss.or.kr), 202608</t>
        </is>
      </c>
      <c r="K276" s="2" t="inlineStr">
        <is>
          <t>농협은행주식회사:2001104780001:lend_rate_min(아파트외/고정금리)</t>
        </is>
      </c>
      <c r="L276" s="2" t="inlineStr">
        <is>
          <t>5.11</t>
        </is>
      </c>
    </row>
    <row r="277">
      <c r="A277" s="2" t="inlineStr">
        <is>
          <t>PRD-0276</t>
        </is>
      </c>
      <c r="B277" s="2" t="inlineStr">
        <is>
          <t>공시형</t>
        </is>
      </c>
      <c r="C277" s="2" t="inlineStr">
        <is>
          <t>대출</t>
        </is>
      </c>
      <c r="D277" s="2" t="inlineStr">
        <is>
          <t>주택담보대출</t>
        </is>
      </c>
      <c r="E277" s="2" t="inlineStr">
        <is>
          <t>loan_min_rate</t>
        </is>
      </c>
      <c r="F277" s="2" t="inlineStr">
        <is>
          <t>아파트 담보 고정금리 조건에서 농협은행주식회사 '채움고정금리모기지론' 상품이 공시한 최저금리는 연 몇 %인가?</t>
        </is>
      </c>
      <c r="G277" s="2" t="inlineStr">
        <is>
          <t>numeric</t>
        </is>
      </c>
      <c r="H277" s="2" t="inlineStr">
        <is>
          <t>5.86</t>
        </is>
      </c>
      <c r="I277" s="2" t="inlineStr">
        <is>
          <t>%</t>
        </is>
      </c>
      <c r="J277" s="2" t="inlineStr">
        <is>
          <t>금융감독원 금융상품통합비교공시 Open API (finlife.fss.or.kr), 202608</t>
        </is>
      </c>
      <c r="K277" s="2" t="inlineStr">
        <is>
          <t>농협은행주식회사:2001108370003:lend_rate_min(아파트/고정금리)</t>
        </is>
      </c>
      <c r="L277" s="2" t="inlineStr">
        <is>
          <t>5.86</t>
        </is>
      </c>
    </row>
    <row r="278">
      <c r="A278" s="2" t="inlineStr">
        <is>
          <t>PRD-0277</t>
        </is>
      </c>
      <c r="B278" s="2" t="inlineStr">
        <is>
          <t>공시형</t>
        </is>
      </c>
      <c r="C278" s="2" t="inlineStr">
        <is>
          <t>대출</t>
        </is>
      </c>
      <c r="D278" s="2" t="inlineStr">
        <is>
          <t>주택담보대출</t>
        </is>
      </c>
      <c r="E278" s="2" t="inlineStr">
        <is>
          <t>loan_min_rate</t>
        </is>
      </c>
      <c r="F278" s="2" t="inlineStr">
        <is>
          <t>농협은행주식회사 '채움고정금리모기지론'에서 아파트외 담보 고정금리 방식으로 대출할 때 최저금리는 연 몇 %인가?</t>
        </is>
      </c>
      <c r="G278" s="2" t="inlineStr">
        <is>
          <t>numeric</t>
        </is>
      </c>
      <c r="H278" s="2" t="inlineStr">
        <is>
          <t>5.86</t>
        </is>
      </c>
      <c r="I278" s="2" t="inlineStr">
        <is>
          <t>%</t>
        </is>
      </c>
      <c r="J278" s="2" t="inlineStr">
        <is>
          <t>금융감독원 금융상품통합비교공시 Open API (finlife.fss.or.kr), 202608</t>
        </is>
      </c>
      <c r="K278" s="2" t="inlineStr">
        <is>
          <t>농협은행주식회사:2001108370003:lend_rate_min(아파트외/고정금리)</t>
        </is>
      </c>
      <c r="L278" s="2" t="inlineStr">
        <is>
          <t>5.86</t>
        </is>
      </c>
    </row>
    <row r="279">
      <c r="A279" s="2" t="inlineStr">
        <is>
          <t>PRD-0278</t>
        </is>
      </c>
      <c r="B279" s="2" t="inlineStr">
        <is>
          <t>공시형</t>
        </is>
      </c>
      <c r="C279" s="2" t="inlineStr">
        <is>
          <t>대출</t>
        </is>
      </c>
      <c r="D279" s="2" t="inlineStr">
        <is>
          <t>주택담보대출</t>
        </is>
      </c>
      <c r="E279" s="2" t="inlineStr">
        <is>
          <t>loan_min_rate</t>
        </is>
      </c>
      <c r="F279" s="2" t="inlineStr">
        <is>
          <t>부산은행 'BNK행복스케치 모기지론'에서 아파트 담보 변동금리 방식으로 대출할 때 최저금리는 연 몇 %인가?</t>
        </is>
      </c>
      <c r="G279" s="2" t="inlineStr">
        <is>
          <t>numeric</t>
        </is>
      </c>
      <c r="H279" s="2" t="inlineStr">
        <is>
          <t>4.2</t>
        </is>
      </c>
      <c r="I279" s="2" t="inlineStr">
        <is>
          <t>%</t>
        </is>
      </c>
      <c r="J279" s="2" t="inlineStr">
        <is>
          <t>금융감독원 금융상품통합비교공시 Open API (finlife.fss.or.kr), 202608</t>
        </is>
      </c>
      <c r="K279" s="2" t="inlineStr">
        <is>
          <t>부산은행:0519:lend_rate_min(아파트/변동금리)</t>
        </is>
      </c>
      <c r="L279" s="2" t="inlineStr">
        <is>
          <t>4.2</t>
        </is>
      </c>
    </row>
    <row r="280">
      <c r="A280" s="2" t="inlineStr">
        <is>
          <t>PRD-0279</t>
        </is>
      </c>
      <c r="B280" s="2" t="inlineStr">
        <is>
          <t>공시형</t>
        </is>
      </c>
      <c r="C280" s="2" t="inlineStr">
        <is>
          <t>대출</t>
        </is>
      </c>
      <c r="D280" s="2" t="inlineStr">
        <is>
          <t>주택담보대출</t>
        </is>
      </c>
      <c r="E280" s="2" t="inlineStr">
        <is>
          <t>loan_min_rate</t>
        </is>
      </c>
      <c r="F280" s="2" t="inlineStr">
        <is>
          <t>아파트외 담보 변동금리 조건에서 부산은행 'BNK행복스케치 모기지론' 상품이 공시한 최저금리는 연 몇 %인가?</t>
        </is>
      </c>
      <c r="G280" s="2" t="inlineStr">
        <is>
          <t>numeric</t>
        </is>
      </c>
      <c r="H280" s="2" t="inlineStr">
        <is>
          <t>4.4</t>
        </is>
      </c>
      <c r="I280" s="2" t="inlineStr">
        <is>
          <t>%</t>
        </is>
      </c>
      <c r="J280" s="2" t="inlineStr">
        <is>
          <t>금융감독원 금융상품통합비교공시 Open API (finlife.fss.or.kr), 202608</t>
        </is>
      </c>
      <c r="K280" s="2" t="inlineStr">
        <is>
          <t>부산은행:0519:lend_rate_min(아파트외/변동금리)</t>
        </is>
      </c>
      <c r="L280" s="2" t="inlineStr">
        <is>
          <t>4.4</t>
        </is>
      </c>
    </row>
    <row r="281">
      <c r="A281" s="2" t="inlineStr">
        <is>
          <t>PRD-0280</t>
        </is>
      </c>
      <c r="B281" s="2" t="inlineStr">
        <is>
          <t>공시형</t>
        </is>
      </c>
      <c r="C281" s="2" t="inlineStr">
        <is>
          <t>대출</t>
        </is>
      </c>
      <c r="D281" s="2" t="inlineStr">
        <is>
          <t>주택담보대출</t>
        </is>
      </c>
      <c r="E281" s="2" t="inlineStr">
        <is>
          <t>loan_min_rate</t>
        </is>
      </c>
      <c r="F281" s="2" t="inlineStr">
        <is>
          <t>아파트 담보 고정금리 조건에서 부산은행 'BNK357금리안심모기지론' 상품이 공시한 최저금리는 연 몇 %인가?</t>
        </is>
      </c>
      <c r="G281" s="2" t="inlineStr">
        <is>
          <t>numeric</t>
        </is>
      </c>
      <c r="H281" s="2" t="inlineStr">
        <is>
          <t>4.96</t>
        </is>
      </c>
      <c r="I281" s="2" t="inlineStr">
        <is>
          <t>%</t>
        </is>
      </c>
      <c r="J281" s="2" t="inlineStr">
        <is>
          <t>금융감독원 금융상품통합비교공시 Open API (finlife.fss.or.kr), 202608</t>
        </is>
      </c>
      <c r="K281" s="2" t="inlineStr">
        <is>
          <t>부산은행:0599:lend_rate_min(아파트/고정금리)</t>
        </is>
      </c>
      <c r="L281" s="2" t="inlineStr">
        <is>
          <t>4.96</t>
        </is>
      </c>
    </row>
    <row r="282">
      <c r="A282" s="2" t="inlineStr">
        <is>
          <t>PRD-0281</t>
        </is>
      </c>
      <c r="B282" s="2" t="inlineStr">
        <is>
          <t>공시형</t>
        </is>
      </c>
      <c r="C282" s="2" t="inlineStr">
        <is>
          <t>대출</t>
        </is>
      </c>
      <c r="D282" s="2" t="inlineStr">
        <is>
          <t>주택담보대출</t>
        </is>
      </c>
      <c r="E282" s="2" t="inlineStr">
        <is>
          <t>loan_min_rate</t>
        </is>
      </c>
      <c r="F282" s="2" t="inlineStr">
        <is>
          <t>부산은행 'BNK357금리안심모기지론'에서 아파트외 담보 고정금리 방식으로 대출할 때 최저금리는 연 몇 %인가?</t>
        </is>
      </c>
      <c r="G282" s="2" t="inlineStr">
        <is>
          <t>numeric</t>
        </is>
      </c>
      <c r="H282" s="2" t="inlineStr">
        <is>
          <t>5.16</t>
        </is>
      </c>
      <c r="I282" s="2" t="inlineStr">
        <is>
          <t>%</t>
        </is>
      </c>
      <c r="J282" s="2" t="inlineStr">
        <is>
          <t>금융감독원 금융상품통합비교공시 Open API (finlife.fss.or.kr), 202608</t>
        </is>
      </c>
      <c r="K282" s="2" t="inlineStr">
        <is>
          <t>부산은행:0599:lend_rate_min(아파트외/고정금리)</t>
        </is>
      </c>
      <c r="L282" s="2" t="inlineStr">
        <is>
          <t>5.16</t>
        </is>
      </c>
    </row>
    <row r="283">
      <c r="A283" s="2" t="inlineStr">
        <is>
          <t>PRD-0282</t>
        </is>
      </c>
      <c r="B283" s="2" t="inlineStr">
        <is>
          <t>공시형</t>
        </is>
      </c>
      <c r="C283" s="2" t="inlineStr">
        <is>
          <t>대출</t>
        </is>
      </c>
      <c r="D283" s="2" t="inlineStr">
        <is>
          <t>주택담보대출</t>
        </is>
      </c>
      <c r="E283" s="2" t="inlineStr">
        <is>
          <t>loan_min_rate</t>
        </is>
      </c>
      <c r="F283" s="2" t="inlineStr">
        <is>
          <t>부산은행 'ONE주택담보대출'의 아파트 담보 고정금리 방식 최저금리는 연 몇 %인가?</t>
        </is>
      </c>
      <c r="G283" s="2" t="inlineStr">
        <is>
          <t>numeric</t>
        </is>
      </c>
      <c r="H283" s="2" t="inlineStr">
        <is>
          <t>4.86</t>
        </is>
      </c>
      <c r="I283" s="2" t="inlineStr">
        <is>
          <t>%</t>
        </is>
      </c>
      <c r="J283" s="2" t="inlineStr">
        <is>
          <t>금융감독원 금융상품통합비교공시 Open API (finlife.fss.or.kr), 202608</t>
        </is>
      </c>
      <c r="K283" s="2" t="inlineStr">
        <is>
          <t>부산은행:1744:lend_rate_min(아파트/고정금리)</t>
        </is>
      </c>
      <c r="L283" s="2" t="inlineStr">
        <is>
          <t>4.86</t>
        </is>
      </c>
    </row>
    <row r="284">
      <c r="A284" s="2" t="inlineStr">
        <is>
          <t>PRD-0283</t>
        </is>
      </c>
      <c r="B284" s="2" t="inlineStr">
        <is>
          <t>공시형</t>
        </is>
      </c>
      <c r="C284" s="2" t="inlineStr">
        <is>
          <t>대출</t>
        </is>
      </c>
      <c r="D284" s="2" t="inlineStr">
        <is>
          <t>주택담보대출</t>
        </is>
      </c>
      <c r="E284" s="2" t="inlineStr">
        <is>
          <t>loan_min_rate</t>
        </is>
      </c>
      <c r="F284" s="2" t="inlineStr">
        <is>
          <t>부산은행 'ONE주택담보대출'의 아파트외 담보 고정금리 방식 최저금리는 연 몇 %인가?</t>
        </is>
      </c>
      <c r="G284" s="2" t="inlineStr">
        <is>
          <t>numeric</t>
        </is>
      </c>
      <c r="H284" s="2" t="inlineStr">
        <is>
          <t>4.86</t>
        </is>
      </c>
      <c r="I284" s="2" t="inlineStr">
        <is>
          <t>%</t>
        </is>
      </c>
      <c r="J284" s="2" t="inlineStr">
        <is>
          <t>금융감독원 금융상품통합비교공시 Open API (finlife.fss.or.kr), 202608</t>
        </is>
      </c>
      <c r="K284" s="2" t="inlineStr">
        <is>
          <t>부산은행:1744:lend_rate_min(아파트외/고정금리)</t>
        </is>
      </c>
      <c r="L284" s="2" t="inlineStr">
        <is>
          <t>4.86</t>
        </is>
      </c>
    </row>
    <row r="285">
      <c r="A285" s="2" t="inlineStr">
        <is>
          <t>PRD-0284</t>
        </is>
      </c>
      <c r="B285" s="2" t="inlineStr">
        <is>
          <t>공시형</t>
        </is>
      </c>
      <c r="C285" s="2" t="inlineStr">
        <is>
          <t>대출</t>
        </is>
      </c>
      <c r="D285" s="2" t="inlineStr">
        <is>
          <t>주택담보대출</t>
        </is>
      </c>
      <c r="E285" s="2" t="inlineStr">
        <is>
          <t>loan_min_rate</t>
        </is>
      </c>
      <c r="F285" s="2" t="inlineStr">
        <is>
          <t>수협은행 'SH으뜸모기지론'의 아파트 담보 변동금리 방식 최저금리는 연 몇 %인가?</t>
        </is>
      </c>
      <c r="G285" s="2" t="inlineStr">
        <is>
          <t>numeric</t>
        </is>
      </c>
      <c r="H285" s="2" t="inlineStr">
        <is>
          <t>4.89</t>
        </is>
      </c>
      <c r="I285" s="2" t="inlineStr">
        <is>
          <t>%</t>
        </is>
      </c>
      <c r="J285" s="2" t="inlineStr">
        <is>
          <t>금융감독원 금융상품통합비교공시 Open API (finlife.fss.or.kr), 202608</t>
        </is>
      </c>
      <c r="K285" s="2" t="inlineStr">
        <is>
          <t>수협은행:1167:lend_rate_min(아파트/변동금리)</t>
        </is>
      </c>
      <c r="L285" s="2" t="inlineStr">
        <is>
          <t>4.89</t>
        </is>
      </c>
    </row>
    <row r="286">
      <c r="A286" s="2" t="inlineStr">
        <is>
          <t>PRD-0285</t>
        </is>
      </c>
      <c r="B286" s="2" t="inlineStr">
        <is>
          <t>공시형</t>
        </is>
      </c>
      <c r="C286" s="2" t="inlineStr">
        <is>
          <t>대출</t>
        </is>
      </c>
      <c r="D286" s="2" t="inlineStr">
        <is>
          <t>주택담보대출</t>
        </is>
      </c>
      <c r="E286" s="2" t="inlineStr">
        <is>
          <t>loan_min_rate</t>
        </is>
      </c>
      <c r="F286" s="2" t="inlineStr">
        <is>
          <t>수협은행 'SH으뜸모기지론'의 아파트 담보 고정금리 방식 최저금리는 연 몇 %인가?</t>
        </is>
      </c>
      <c r="G286" s="2" t="inlineStr">
        <is>
          <t>numeric</t>
        </is>
      </c>
      <c r="H286" s="2" t="inlineStr">
        <is>
          <t>5.39</t>
        </is>
      </c>
      <c r="I286" s="2" t="inlineStr">
        <is>
          <t>%</t>
        </is>
      </c>
      <c r="J286" s="2" t="inlineStr">
        <is>
          <t>금융감독원 금융상품통합비교공시 Open API (finlife.fss.or.kr), 202608</t>
        </is>
      </c>
      <c r="K286" s="2" t="inlineStr">
        <is>
          <t>수협은행:1167:lend_rate_min(아파트/고정금리)</t>
        </is>
      </c>
      <c r="L286" s="2" t="inlineStr">
        <is>
          <t>5.39</t>
        </is>
      </c>
    </row>
    <row r="287">
      <c r="A287" s="2" t="inlineStr">
        <is>
          <t>PRD-0286</t>
        </is>
      </c>
      <c r="B287" s="2" t="inlineStr">
        <is>
          <t>공시형</t>
        </is>
      </c>
      <c r="C287" s="2" t="inlineStr">
        <is>
          <t>대출</t>
        </is>
      </c>
      <c r="D287" s="2" t="inlineStr">
        <is>
          <t>주택담보대출</t>
        </is>
      </c>
      <c r="E287" s="2" t="inlineStr">
        <is>
          <t>loan_min_rate</t>
        </is>
      </c>
      <c r="F287" s="2" t="inlineStr">
        <is>
          <t>수협은행 'SH으뜸모기지론'의 아파트외 담보 변동금리 방식 최저금리는 연 몇 %인가?</t>
        </is>
      </c>
      <c r="G287" s="2" t="inlineStr">
        <is>
          <t>numeric</t>
        </is>
      </c>
      <c r="H287" s="2" t="inlineStr">
        <is>
          <t>4.89</t>
        </is>
      </c>
      <c r="I287" s="2" t="inlineStr">
        <is>
          <t>%</t>
        </is>
      </c>
      <c r="J287" s="2" t="inlineStr">
        <is>
          <t>금융감독원 금융상품통합비교공시 Open API (finlife.fss.or.kr), 202608</t>
        </is>
      </c>
      <c r="K287" s="2" t="inlineStr">
        <is>
          <t>수협은행:1167:lend_rate_min(아파트외/변동금리)</t>
        </is>
      </c>
      <c r="L287" s="2" t="inlineStr">
        <is>
          <t>4.89</t>
        </is>
      </c>
    </row>
    <row r="288">
      <c r="A288" s="2" t="inlineStr">
        <is>
          <t>PRD-0287</t>
        </is>
      </c>
      <c r="B288" s="2" t="inlineStr">
        <is>
          <t>공시형</t>
        </is>
      </c>
      <c r="C288" s="2" t="inlineStr">
        <is>
          <t>대출</t>
        </is>
      </c>
      <c r="D288" s="2" t="inlineStr">
        <is>
          <t>주택담보대출</t>
        </is>
      </c>
      <c r="E288" s="2" t="inlineStr">
        <is>
          <t>loan_min_rate</t>
        </is>
      </c>
      <c r="F288" s="2" t="inlineStr">
        <is>
          <t>수협은행 'SH으뜸모기지론'에서 아파트외 담보 고정금리 방식으로 대출할 때 최저금리는 연 몇 %인가?</t>
        </is>
      </c>
      <c r="G288" s="2" t="inlineStr">
        <is>
          <t>numeric</t>
        </is>
      </c>
      <c r="H288" s="2" t="inlineStr">
        <is>
          <t>5.4</t>
        </is>
      </c>
      <c r="I288" s="2" t="inlineStr">
        <is>
          <t>%</t>
        </is>
      </c>
      <c r="J288" s="2" t="inlineStr">
        <is>
          <t>금융감독원 금융상품통합비교공시 Open API (finlife.fss.or.kr), 202608</t>
        </is>
      </c>
      <c r="K288" s="2" t="inlineStr">
        <is>
          <t>수협은행:1167:lend_rate_min(아파트외/고정금리)</t>
        </is>
      </c>
      <c r="L288" s="2" t="inlineStr">
        <is>
          <t>5.4</t>
        </is>
      </c>
    </row>
    <row r="289">
      <c r="A289" s="2" t="inlineStr">
        <is>
          <t>PRD-0288</t>
        </is>
      </c>
      <c r="B289" s="2" t="inlineStr">
        <is>
          <t>공시형</t>
        </is>
      </c>
      <c r="C289" s="2" t="inlineStr">
        <is>
          <t>대출</t>
        </is>
      </c>
      <c r="D289" s="2" t="inlineStr">
        <is>
          <t>주택담보대출</t>
        </is>
      </c>
      <c r="E289" s="2" t="inlineStr">
        <is>
          <t>loan_min_rate</t>
        </is>
      </c>
      <c r="F289" s="2" t="inlineStr">
        <is>
          <t>신한은행 '신한주택대출(아파트)'의 아파트 담보 변동금리 방식 최저금리는 연 몇 %인가?</t>
        </is>
      </c>
      <c r="G289" s="2" t="inlineStr">
        <is>
          <t>numeric</t>
        </is>
      </c>
      <c r="H289" s="2" t="inlineStr">
        <is>
          <t>4.25</t>
        </is>
      </c>
      <c r="I289" s="2" t="inlineStr">
        <is>
          <t>%</t>
        </is>
      </c>
      <c r="J289" s="2" t="inlineStr">
        <is>
          <t>금융감독원 금융상품통합비교공시 Open API (finlife.fss.or.kr), 202608</t>
        </is>
      </c>
      <c r="K289" s="2" t="inlineStr">
        <is>
          <t>신한은행:WR0001B:lend_rate_min(아파트/변동금리)</t>
        </is>
      </c>
      <c r="L289" s="2" t="inlineStr">
        <is>
          <t>4.25</t>
        </is>
      </c>
    </row>
    <row r="290">
      <c r="A290" s="2" t="inlineStr">
        <is>
          <t>PRD-0289</t>
        </is>
      </c>
      <c r="B290" s="2" t="inlineStr">
        <is>
          <t>공시형</t>
        </is>
      </c>
      <c r="C290" s="2" t="inlineStr">
        <is>
          <t>대출</t>
        </is>
      </c>
      <c r="D290" s="2" t="inlineStr">
        <is>
          <t>주택담보대출</t>
        </is>
      </c>
      <c r="E290" s="2" t="inlineStr">
        <is>
          <t>loan_min_rate</t>
        </is>
      </c>
      <c r="F290" s="2" t="inlineStr">
        <is>
          <t>신한은행 '신한주택대출(아파트)'의 아파트 담보 고정금리 방식 최저금리는 연 몇 %인가?</t>
        </is>
      </c>
      <c r="G290" s="2" t="inlineStr">
        <is>
          <t>numeric</t>
        </is>
      </c>
      <c r="H290" s="2" t="inlineStr">
        <is>
          <t>4.92</t>
        </is>
      </c>
      <c r="I290" s="2" t="inlineStr">
        <is>
          <t>%</t>
        </is>
      </c>
      <c r="J290" s="2" t="inlineStr">
        <is>
          <t>금융감독원 금융상품통합비교공시 Open API (finlife.fss.or.kr), 202608</t>
        </is>
      </c>
      <c r="K290" s="2" t="inlineStr">
        <is>
          <t>신한은행:WR0001B:lend_rate_min(아파트/고정금리)</t>
        </is>
      </c>
      <c r="L290" s="2" t="inlineStr">
        <is>
          <t>4.92</t>
        </is>
      </c>
    </row>
    <row r="291">
      <c r="A291" s="2" t="inlineStr">
        <is>
          <t>PRD-0290</t>
        </is>
      </c>
      <c r="B291" s="2" t="inlineStr">
        <is>
          <t>공시형</t>
        </is>
      </c>
      <c r="C291" s="2" t="inlineStr">
        <is>
          <t>대출</t>
        </is>
      </c>
      <c r="D291" s="2" t="inlineStr">
        <is>
          <t>주택담보대출</t>
        </is>
      </c>
      <c r="E291" s="2" t="inlineStr">
        <is>
          <t>loan_min_rate</t>
        </is>
      </c>
      <c r="F291" s="2" t="inlineStr">
        <is>
          <t>신한은행 '신한주택대출'의 아파트외 담보 변동금리 방식 최저금리는 연 몇 %인가?</t>
        </is>
      </c>
      <c r="G291" s="2" t="inlineStr">
        <is>
          <t>numeric</t>
        </is>
      </c>
      <c r="H291" s="2" t="inlineStr">
        <is>
          <t>4.35</t>
        </is>
      </c>
      <c r="I291" s="2" t="inlineStr">
        <is>
          <t>%</t>
        </is>
      </c>
      <c r="J291" s="2" t="inlineStr">
        <is>
          <t>금융감독원 금융상품통합비교공시 Open API (finlife.fss.or.kr), 202608</t>
        </is>
      </c>
      <c r="K291" s="2" t="inlineStr">
        <is>
          <t>신한은행:WR0001C:lend_rate_min(아파트외/변동금리)</t>
        </is>
      </c>
      <c r="L291" s="2" t="inlineStr">
        <is>
          <t>4.35</t>
        </is>
      </c>
    </row>
    <row r="292">
      <c r="A292" s="2" t="inlineStr">
        <is>
          <t>PRD-0291</t>
        </is>
      </c>
      <c r="B292" s="2" t="inlineStr">
        <is>
          <t>공시형</t>
        </is>
      </c>
      <c r="C292" s="2" t="inlineStr">
        <is>
          <t>대출</t>
        </is>
      </c>
      <c r="D292" s="2" t="inlineStr">
        <is>
          <t>주택담보대출</t>
        </is>
      </c>
      <c r="E292" s="2" t="inlineStr">
        <is>
          <t>loan_min_rate</t>
        </is>
      </c>
      <c r="F292" s="2" t="inlineStr">
        <is>
          <t>신한은행 '신한주택대출'의 아파트외 담보 고정금리 방식 최저금리는 연 몇 %인가?</t>
        </is>
      </c>
      <c r="G292" s="2" t="inlineStr">
        <is>
          <t>numeric</t>
        </is>
      </c>
      <c r="H292" s="2" t="inlineStr">
        <is>
          <t>5.02</t>
        </is>
      </c>
      <c r="I292" s="2" t="inlineStr">
        <is>
          <t>%</t>
        </is>
      </c>
      <c r="J292" s="2" t="inlineStr">
        <is>
          <t>금융감독원 금융상품통합비교공시 Open API (finlife.fss.or.kr), 202608</t>
        </is>
      </c>
      <c r="K292" s="2" t="inlineStr">
        <is>
          <t>신한은행:WR0001C:lend_rate_min(아파트외/고정금리)</t>
        </is>
      </c>
      <c r="L292" s="2" t="inlineStr">
        <is>
          <t>5.02</t>
        </is>
      </c>
    </row>
    <row r="293">
      <c r="A293" s="2" t="inlineStr">
        <is>
          <t>PRD-0292</t>
        </is>
      </c>
      <c r="B293" s="2" t="inlineStr">
        <is>
          <t>공시형</t>
        </is>
      </c>
      <c r="C293" s="2" t="inlineStr">
        <is>
          <t>대출</t>
        </is>
      </c>
      <c r="D293" s="2" t="inlineStr">
        <is>
          <t>주택담보대출</t>
        </is>
      </c>
      <c r="E293" s="2" t="inlineStr">
        <is>
          <t>loan_min_rate</t>
        </is>
      </c>
      <c r="F293" s="2" t="inlineStr">
        <is>
          <t>아파트외 담보 변동금리 조건에서 아이엠뱅크 '장기모기지론-코픽스6개월변동(생활)' 상품이 공시한 최저금리는 연 몇 %인가?</t>
        </is>
      </c>
      <c r="G293" s="2" t="inlineStr">
        <is>
          <t>numeric</t>
        </is>
      </c>
      <c r="H293" s="2" t="inlineStr">
        <is>
          <t>4.43</t>
        </is>
      </c>
      <c r="I293" s="2" t="inlineStr">
        <is>
          <t>%</t>
        </is>
      </c>
      <c r="J293" s="2" t="inlineStr">
        <is>
          <t>금융감독원 금융상품통합비교공시 Open API (finlife.fss.or.kr), 202608</t>
        </is>
      </c>
      <c r="K293" s="2" t="inlineStr">
        <is>
          <t>아이엠뱅크:20283701000001001:lend_rate_min(아파트외/변동금리)</t>
        </is>
      </c>
      <c r="L293" s="2" t="inlineStr">
        <is>
          <t>4.43</t>
        </is>
      </c>
    </row>
    <row r="294">
      <c r="A294" s="2" t="inlineStr">
        <is>
          <t>PRD-0293</t>
        </is>
      </c>
      <c r="B294" s="2" t="inlineStr">
        <is>
          <t>공시형</t>
        </is>
      </c>
      <c r="C294" s="2" t="inlineStr">
        <is>
          <t>대출</t>
        </is>
      </c>
      <c r="D294" s="2" t="inlineStr">
        <is>
          <t>주택담보대출</t>
        </is>
      </c>
      <c r="E294" s="2" t="inlineStr">
        <is>
          <t>loan_min_rate</t>
        </is>
      </c>
      <c r="F294" s="2" t="inlineStr">
        <is>
          <t>아이엠뱅크 '장기모기지론-코픽스6개월변동(생활)'의 아파트 담보 변동금리 방식 최저금리는 연 몇 %인가?</t>
        </is>
      </c>
      <c r="G294" s="2" t="inlineStr">
        <is>
          <t>numeric</t>
        </is>
      </c>
      <c r="H294" s="2" t="inlineStr">
        <is>
          <t>4.43</t>
        </is>
      </c>
      <c r="I294" s="2" t="inlineStr">
        <is>
          <t>%</t>
        </is>
      </c>
      <c r="J294" s="2" t="inlineStr">
        <is>
          <t>금융감독원 금융상품통합비교공시 Open API (finlife.fss.or.kr), 202608</t>
        </is>
      </c>
      <c r="K294" s="2" t="inlineStr">
        <is>
          <t>아이엠뱅크:20283701000001001:lend_rate_min(아파트/변동금리)</t>
        </is>
      </c>
      <c r="L294" s="2" t="inlineStr">
        <is>
          <t>4.43</t>
        </is>
      </c>
    </row>
    <row r="295">
      <c r="A295" s="2" t="inlineStr">
        <is>
          <t>PRD-0294</t>
        </is>
      </c>
      <c r="B295" s="2" t="inlineStr">
        <is>
          <t>공시형</t>
        </is>
      </c>
      <c r="C295" s="2" t="inlineStr">
        <is>
          <t>대출</t>
        </is>
      </c>
      <c r="D295" s="2" t="inlineStr">
        <is>
          <t>주택담보대출</t>
        </is>
      </c>
      <c r="E295" s="2" t="inlineStr">
        <is>
          <t>loan_min_rate</t>
        </is>
      </c>
      <c r="F295" s="2" t="inlineStr">
        <is>
          <t>아파트 담보 변동금리 조건에서 아이엠뱅크 '장기모기지론_금융채5년변동(생활)' 상품이 공시한 최저금리는 연 몇 %인가?</t>
        </is>
      </c>
      <c r="G295" s="2" t="inlineStr">
        <is>
          <t>numeric</t>
        </is>
      </c>
      <c r="H295" s="2" t="inlineStr">
        <is>
          <t>5.27</t>
        </is>
      </c>
      <c r="I295" s="2" t="inlineStr">
        <is>
          <t>%</t>
        </is>
      </c>
      <c r="J295" s="2" t="inlineStr">
        <is>
          <t>금융감독원 금융상품통합비교공시 Open API (finlife.fss.or.kr), 202608</t>
        </is>
      </c>
      <c r="K295" s="2" t="inlineStr">
        <is>
          <t>아이엠뱅크:2028377B000001001:lend_rate_min(아파트/변동금리)</t>
        </is>
      </c>
      <c r="L295" s="2" t="inlineStr">
        <is>
          <t>5.27</t>
        </is>
      </c>
    </row>
    <row r="296">
      <c r="A296" s="2" t="inlineStr">
        <is>
          <t>PRD-0295</t>
        </is>
      </c>
      <c r="B296" s="2" t="inlineStr">
        <is>
          <t>공시형</t>
        </is>
      </c>
      <c r="C296" s="2" t="inlineStr">
        <is>
          <t>대출</t>
        </is>
      </c>
      <c r="D296" s="2" t="inlineStr">
        <is>
          <t>주택담보대출</t>
        </is>
      </c>
      <c r="E296" s="2" t="inlineStr">
        <is>
          <t>loan_min_rate</t>
        </is>
      </c>
      <c r="F296" s="2" t="inlineStr">
        <is>
          <t>아파트외 담보 변동금리 조건에서 아이엠뱅크 '장기모기지론_금융채5년변동(생활)' 상품이 공시한 최저금리는 연 몇 %인가?</t>
        </is>
      </c>
      <c r="G296" s="2" t="inlineStr">
        <is>
          <t>numeric</t>
        </is>
      </c>
      <c r="H296" s="2" t="inlineStr">
        <is>
          <t>5.27</t>
        </is>
      </c>
      <c r="I296" s="2" t="inlineStr">
        <is>
          <t>%</t>
        </is>
      </c>
      <c r="J296" s="2" t="inlineStr">
        <is>
          <t>금융감독원 금융상품통합비교공시 Open API (finlife.fss.or.kr), 202608</t>
        </is>
      </c>
      <c r="K296" s="2" t="inlineStr">
        <is>
          <t>아이엠뱅크:2028377B000001001:lend_rate_min(아파트외/변동금리)</t>
        </is>
      </c>
      <c r="L296" s="2" t="inlineStr">
        <is>
          <t>5.27</t>
        </is>
      </c>
    </row>
    <row r="297">
      <c r="A297" s="2" t="inlineStr">
        <is>
          <t>PRD-0296</t>
        </is>
      </c>
      <c r="B297" s="2" t="inlineStr">
        <is>
          <t>공시형</t>
        </is>
      </c>
      <c r="C297" s="2" t="inlineStr">
        <is>
          <t>대출</t>
        </is>
      </c>
      <c r="D297" s="2" t="inlineStr">
        <is>
          <t>주택담보대출</t>
        </is>
      </c>
      <c r="E297" s="2" t="inlineStr">
        <is>
          <t>loan_min_rate</t>
        </is>
      </c>
      <c r="F297" s="2" t="inlineStr">
        <is>
          <t>아이엠뱅크 'IM주택담보대출_금융채5년변동(생활)'의 아파트 담보 변동금리 방식 최저금리는 연 몇 %인가?</t>
        </is>
      </c>
      <c r="G297" s="2" t="inlineStr">
        <is>
          <t>numeric</t>
        </is>
      </c>
      <c r="H297" s="2" t="inlineStr">
        <is>
          <t>5.05</t>
        </is>
      </c>
      <c r="I297" s="2" t="inlineStr">
        <is>
          <t>%</t>
        </is>
      </c>
      <c r="J297" s="2" t="inlineStr">
        <is>
          <t>금융감독원 금융상품통합비교공시 Open API (finlife.fss.or.kr), 202608</t>
        </is>
      </c>
      <c r="K297" s="2" t="inlineStr">
        <is>
          <t>아이엠뱅크:2028377B001162002:lend_rate_min(아파트/변동금리)</t>
        </is>
      </c>
      <c r="L297" s="2" t="inlineStr">
        <is>
          <t>5.05</t>
        </is>
      </c>
    </row>
    <row r="298">
      <c r="A298" s="2" t="inlineStr">
        <is>
          <t>PRD-0297</t>
        </is>
      </c>
      <c r="B298" s="2" t="inlineStr">
        <is>
          <t>공시형</t>
        </is>
      </c>
      <c r="C298" s="2" t="inlineStr">
        <is>
          <t>대출</t>
        </is>
      </c>
      <c r="D298" s="2" t="inlineStr">
        <is>
          <t>주택담보대출</t>
        </is>
      </c>
      <c r="E298" s="2" t="inlineStr">
        <is>
          <t>loan_min_rate</t>
        </is>
      </c>
      <c r="F298" s="2" t="inlineStr">
        <is>
          <t>아이엠뱅크 '장기모기지론-코픽스6개월변동(구입)'의 아파트 담보 변동금리 방식 최저금리는 연 몇 %인가?</t>
        </is>
      </c>
      <c r="G298" s="2" t="inlineStr">
        <is>
          <t>numeric</t>
        </is>
      </c>
      <c r="H298" s="2" t="inlineStr">
        <is>
          <t>4.43</t>
        </is>
      </c>
      <c r="I298" s="2" t="inlineStr">
        <is>
          <t>%</t>
        </is>
      </c>
      <c r="J298" s="2" t="inlineStr">
        <is>
          <t>금융감독원 금융상품통합비교공시 Open API (finlife.fss.or.kr), 202608</t>
        </is>
      </c>
      <c r="K298" s="2" t="inlineStr">
        <is>
          <t>아이엠뱅크:20461501000001001:lend_rate_min(아파트/변동금리)</t>
        </is>
      </c>
      <c r="L298" s="2" t="inlineStr">
        <is>
          <t>4.43</t>
        </is>
      </c>
    </row>
    <row r="299">
      <c r="A299" s="2" t="inlineStr">
        <is>
          <t>PRD-0298</t>
        </is>
      </c>
      <c r="B299" s="2" t="inlineStr">
        <is>
          <t>공시형</t>
        </is>
      </c>
      <c r="C299" s="2" t="inlineStr">
        <is>
          <t>대출</t>
        </is>
      </c>
      <c r="D299" s="2" t="inlineStr">
        <is>
          <t>주택담보대출</t>
        </is>
      </c>
      <c r="E299" s="2" t="inlineStr">
        <is>
          <t>loan_min_rate</t>
        </is>
      </c>
      <c r="F299" s="2" t="inlineStr">
        <is>
          <t>아이엠뱅크 '장기모기지론-코픽스6개월변동(구입)'에서 아파트외 담보 변동금리 방식으로 대출할 때 최저금리는 연 몇 %인가?</t>
        </is>
      </c>
      <c r="G299" s="2" t="inlineStr">
        <is>
          <t>numeric</t>
        </is>
      </c>
      <c r="H299" s="2" t="inlineStr">
        <is>
          <t>4.43</t>
        </is>
      </c>
      <c r="I299" s="2" t="inlineStr">
        <is>
          <t>%</t>
        </is>
      </c>
      <c r="J299" s="2" t="inlineStr">
        <is>
          <t>금융감독원 금융상품통합비교공시 Open API (finlife.fss.or.kr), 202608</t>
        </is>
      </c>
      <c r="K299" s="2" t="inlineStr">
        <is>
          <t>아이엠뱅크:20461501000001001:lend_rate_min(아파트외/변동금리)</t>
        </is>
      </c>
      <c r="L299" s="2" t="inlineStr">
        <is>
          <t>4.43</t>
        </is>
      </c>
    </row>
    <row r="300">
      <c r="A300" s="2" t="inlineStr">
        <is>
          <t>PRD-0299</t>
        </is>
      </c>
      <c r="B300" s="2" t="inlineStr">
        <is>
          <t>공시형</t>
        </is>
      </c>
      <c r="C300" s="2" t="inlineStr">
        <is>
          <t>대출</t>
        </is>
      </c>
      <c r="D300" s="2" t="inlineStr">
        <is>
          <t>주택담보대출</t>
        </is>
      </c>
      <c r="E300" s="2" t="inlineStr">
        <is>
          <t>loan_min_rate</t>
        </is>
      </c>
      <c r="F300" s="2" t="inlineStr">
        <is>
          <t>아이엠뱅크 '장기모기지론_금융채5년변동(구입)'에서 아파트 담보 변동금리 방식으로 대출할 때 최저금리는 연 몇 %인가?</t>
        </is>
      </c>
      <c r="G300" s="2" t="inlineStr">
        <is>
          <t>numeric</t>
        </is>
      </c>
      <c r="H300" s="2" t="inlineStr">
        <is>
          <t>5.27</t>
        </is>
      </c>
      <c r="I300" s="2" t="inlineStr">
        <is>
          <t>%</t>
        </is>
      </c>
      <c r="J300" s="2" t="inlineStr">
        <is>
          <t>금융감독원 금융상품통합비교공시 Open API (finlife.fss.or.kr), 202608</t>
        </is>
      </c>
      <c r="K300" s="2" t="inlineStr">
        <is>
          <t>아이엠뱅크:2046157B000001001:lend_rate_min(아파트/변동금리)</t>
        </is>
      </c>
      <c r="L300" s="2" t="inlineStr">
        <is>
          <t>5.27</t>
        </is>
      </c>
    </row>
    <row r="301">
      <c r="A301" s="2" t="inlineStr">
        <is>
          <t>PRD-0300</t>
        </is>
      </c>
      <c r="B301" s="2" t="inlineStr">
        <is>
          <t>공시형</t>
        </is>
      </c>
      <c r="C301" s="2" t="inlineStr">
        <is>
          <t>대출</t>
        </is>
      </c>
      <c r="D301" s="2" t="inlineStr">
        <is>
          <t>주택담보대출</t>
        </is>
      </c>
      <c r="E301" s="2" t="inlineStr">
        <is>
          <t>loan_min_rate</t>
        </is>
      </c>
      <c r="F301" s="2" t="inlineStr">
        <is>
          <t>아파트외 담보 변동금리 조건에서 아이엠뱅크 '장기모기지론_금융채5년변동(구입)' 상품이 공시한 최저금리는 연 몇 %인가?</t>
        </is>
      </c>
      <c r="G301" s="2" t="inlineStr">
        <is>
          <t>numeric</t>
        </is>
      </c>
      <c r="H301" s="2" t="inlineStr">
        <is>
          <t>5.27</t>
        </is>
      </c>
      <c r="I301" s="2" t="inlineStr">
        <is>
          <t>%</t>
        </is>
      </c>
      <c r="J301" s="2" t="inlineStr">
        <is>
          <t>금융감독원 금융상품통합비교공시 Open API (finlife.fss.or.kr), 202608</t>
        </is>
      </c>
      <c r="K301" s="2" t="inlineStr">
        <is>
          <t>아이엠뱅크:2046157B000001001:lend_rate_min(아파트외/변동금리)</t>
        </is>
      </c>
      <c r="L301" s="2" t="inlineStr">
        <is>
          <t>5.27</t>
        </is>
      </c>
    </row>
    <row r="302">
      <c r="A302" s="2" t="inlineStr">
        <is>
          <t>PRD-0301</t>
        </is>
      </c>
      <c r="B302" s="2" t="inlineStr">
        <is>
          <t>공시형</t>
        </is>
      </c>
      <c r="C302" s="2" t="inlineStr">
        <is>
          <t>대출</t>
        </is>
      </c>
      <c r="D302" s="2" t="inlineStr">
        <is>
          <t>주택담보대출</t>
        </is>
      </c>
      <c r="E302" s="2" t="inlineStr">
        <is>
          <t>loan_min_rate</t>
        </is>
      </c>
      <c r="F302" s="2" t="inlineStr">
        <is>
          <t>아이엠뱅크 'IM주택담보대출_금융채5년변동(구입)'에서 아파트 담보 변동금리 방식으로 대출할 때 최저금리는 연 몇 %인가?</t>
        </is>
      </c>
      <c r="G302" s="2" t="inlineStr">
        <is>
          <t>numeric</t>
        </is>
      </c>
      <c r="H302" s="2" t="inlineStr">
        <is>
          <t>5.05</t>
        </is>
      </c>
      <c r="I302" s="2" t="inlineStr">
        <is>
          <t>%</t>
        </is>
      </c>
      <c r="J302" s="2" t="inlineStr">
        <is>
          <t>금융감독원 금융상품통합비교공시 Open API (finlife.fss.or.kr), 202608</t>
        </is>
      </c>
      <c r="K302" s="2" t="inlineStr">
        <is>
          <t>아이엠뱅크:2046157B001162002:lend_rate_min(아파트/변동금리)</t>
        </is>
      </c>
      <c r="L302" s="2" t="inlineStr">
        <is>
          <t>5.05</t>
        </is>
      </c>
    </row>
    <row r="303">
      <c r="A303" s="2" t="inlineStr">
        <is>
          <t>PRD-0302</t>
        </is>
      </c>
      <c r="B303" s="2" t="inlineStr">
        <is>
          <t>공시형</t>
        </is>
      </c>
      <c r="C303" s="2" t="inlineStr">
        <is>
          <t>대출</t>
        </is>
      </c>
      <c r="D303" s="2" t="inlineStr">
        <is>
          <t>주택담보대출</t>
        </is>
      </c>
      <c r="E303" s="2" t="inlineStr">
        <is>
          <t>loan_min_rate</t>
        </is>
      </c>
      <c r="F303" s="2" t="inlineStr">
        <is>
          <t>우리은행 '우리아파트론'의 아파트 담보 변동금리 방식 최저금리는 연 몇 %인가?</t>
        </is>
      </c>
      <c r="G303" s="2" t="inlineStr">
        <is>
          <t>numeric</t>
        </is>
      </c>
      <c r="H303" s="2" t="inlineStr">
        <is>
          <t>4.22</t>
        </is>
      </c>
      <c r="I303" s="2" t="inlineStr">
        <is>
          <t>%</t>
        </is>
      </c>
      <c r="J303" s="2" t="inlineStr">
        <is>
          <t>금융감독원 금융상품통합비교공시 Open API (finlife.fss.or.kr), 202608</t>
        </is>
      </c>
      <c r="K303" s="2" t="inlineStr">
        <is>
          <t>우리은행:1054:lend_rate_min(아파트/변동금리)</t>
        </is>
      </c>
      <c r="L303" s="2" t="inlineStr">
        <is>
          <t>4.22</t>
        </is>
      </c>
    </row>
    <row r="304">
      <c r="A304" s="2" t="inlineStr">
        <is>
          <t>PRD-0303</t>
        </is>
      </c>
      <c r="B304" s="2" t="inlineStr">
        <is>
          <t>공시형</t>
        </is>
      </c>
      <c r="C304" s="2" t="inlineStr">
        <is>
          <t>대출</t>
        </is>
      </c>
      <c r="D304" s="2" t="inlineStr">
        <is>
          <t>주택담보대출</t>
        </is>
      </c>
      <c r="E304" s="2" t="inlineStr">
        <is>
          <t>loan_min_rate</t>
        </is>
      </c>
      <c r="F304" s="2" t="inlineStr">
        <is>
          <t>우리은행 '우리아파트론'의 아파트 담보 고정금리 방식 최저금리는 연 몇 %인가?</t>
        </is>
      </c>
      <c r="G304" s="2" t="inlineStr">
        <is>
          <t>numeric</t>
        </is>
      </c>
      <c r="H304" s="2" t="inlineStr">
        <is>
          <t>5.53</t>
        </is>
      </c>
      <c r="I304" s="2" t="inlineStr">
        <is>
          <t>%</t>
        </is>
      </c>
      <c r="J304" s="2" t="inlineStr">
        <is>
          <t>금융감독원 금융상품통합비교공시 Open API (finlife.fss.or.kr), 202608</t>
        </is>
      </c>
      <c r="K304" s="2" t="inlineStr">
        <is>
          <t>우리은행:1054:lend_rate_min(아파트/고정금리)</t>
        </is>
      </c>
      <c r="L304" s="2" t="inlineStr">
        <is>
          <t>5.53</t>
        </is>
      </c>
    </row>
    <row r="305">
      <c r="A305" s="2" t="inlineStr">
        <is>
          <t>PRD-0304</t>
        </is>
      </c>
      <c r="B305" s="2" t="inlineStr">
        <is>
          <t>공시형</t>
        </is>
      </c>
      <c r="C305" s="2" t="inlineStr">
        <is>
          <t>대출</t>
        </is>
      </c>
      <c r="D305" s="2" t="inlineStr">
        <is>
          <t>주택담보대출</t>
        </is>
      </c>
      <c r="E305" s="2" t="inlineStr">
        <is>
          <t>loan_min_rate</t>
        </is>
      </c>
      <c r="F305" s="2" t="inlineStr">
        <is>
          <t>아파트외 담보 변동금리 조건에서 우리은행 '우리부동산론' 상품이 공시한 최저금리는 연 몇 %인가?</t>
        </is>
      </c>
      <c r="G305" s="2" t="inlineStr">
        <is>
          <t>numeric</t>
        </is>
      </c>
      <c r="H305" s="2" t="inlineStr">
        <is>
          <t>4.22</t>
        </is>
      </c>
      <c r="I305" s="2" t="inlineStr">
        <is>
          <t>%</t>
        </is>
      </c>
      <c r="J305" s="2" t="inlineStr">
        <is>
          <t>금융감독원 금융상품통합비교공시 Open API (finlife.fss.or.kr), 202608</t>
        </is>
      </c>
      <c r="K305" s="2" t="inlineStr">
        <is>
          <t>우리은행:1055:lend_rate_min(아파트외/변동금리)</t>
        </is>
      </c>
      <c r="L305" s="2" t="inlineStr">
        <is>
          <t>4.22</t>
        </is>
      </c>
    </row>
    <row r="306">
      <c r="A306" s="2" t="inlineStr">
        <is>
          <t>PRD-0305</t>
        </is>
      </c>
      <c r="B306" s="2" t="inlineStr">
        <is>
          <t>공시형</t>
        </is>
      </c>
      <c r="C306" s="2" t="inlineStr">
        <is>
          <t>대출</t>
        </is>
      </c>
      <c r="D306" s="2" t="inlineStr">
        <is>
          <t>주택담보대출</t>
        </is>
      </c>
      <c r="E306" s="2" t="inlineStr">
        <is>
          <t>loan_min_rate</t>
        </is>
      </c>
      <c r="F306" s="2" t="inlineStr">
        <is>
          <t>아파트외 담보 고정금리 조건에서 우리은행 '우리부동산론' 상품이 공시한 최저금리는 연 몇 %인가?</t>
        </is>
      </c>
      <c r="G306" s="2" t="inlineStr">
        <is>
          <t>numeric</t>
        </is>
      </c>
      <c r="H306" s="2" t="inlineStr">
        <is>
          <t>5.73</t>
        </is>
      </c>
      <c r="I306" s="2" t="inlineStr">
        <is>
          <t>%</t>
        </is>
      </c>
      <c r="J306" s="2" t="inlineStr">
        <is>
          <t>금융감독원 금융상품통합비교공시 Open API (finlife.fss.or.kr), 202608</t>
        </is>
      </c>
      <c r="K306" s="2" t="inlineStr">
        <is>
          <t>우리은행:1055:lend_rate_min(아파트외/고정금리)</t>
        </is>
      </c>
      <c r="L306" s="2" t="inlineStr">
        <is>
          <t>5.73</t>
        </is>
      </c>
    </row>
    <row r="307">
      <c r="A307" s="2" t="inlineStr">
        <is>
          <t>PRD-0306</t>
        </is>
      </c>
      <c r="B307" s="2" t="inlineStr">
        <is>
          <t>공시형</t>
        </is>
      </c>
      <c r="C307" s="2" t="inlineStr">
        <is>
          <t>대출</t>
        </is>
      </c>
      <c r="D307" s="2" t="inlineStr">
        <is>
          <t>주택담보대출</t>
        </is>
      </c>
      <c r="E307" s="2" t="inlineStr">
        <is>
          <t>loan_min_rate</t>
        </is>
      </c>
      <c r="F307" s="2" t="inlineStr">
        <is>
          <t>전북은행 'JB해피홈론'의 아파트 담보 변동금리 방식 최저금리는 연 몇 %인가?</t>
        </is>
      </c>
      <c r="G307" s="2" t="inlineStr">
        <is>
          <t>numeric</t>
        </is>
      </c>
      <c r="H307" s="2" t="inlineStr">
        <is>
          <t>4.52</t>
        </is>
      </c>
      <c r="I307" s="2" t="inlineStr">
        <is>
          <t>%</t>
        </is>
      </c>
      <c r="J307" s="2" t="inlineStr">
        <is>
          <t>금융감독원 금융상품통합비교공시 Open API (finlife.fss.or.kr), 202608</t>
        </is>
      </c>
      <c r="K307" s="2" t="inlineStr">
        <is>
          <t>전북은행:WR0001A:lend_rate_min(아파트/변동금리)</t>
        </is>
      </c>
      <c r="L307" s="2" t="inlineStr">
        <is>
          <t>4.52</t>
        </is>
      </c>
    </row>
    <row r="308">
      <c r="A308" s="2" t="inlineStr">
        <is>
          <t>PRD-0307</t>
        </is>
      </c>
      <c r="B308" s="2" t="inlineStr">
        <is>
          <t>공시형</t>
        </is>
      </c>
      <c r="C308" s="2" t="inlineStr">
        <is>
          <t>대출</t>
        </is>
      </c>
      <c r="D308" s="2" t="inlineStr">
        <is>
          <t>주택담보대출</t>
        </is>
      </c>
      <c r="E308" s="2" t="inlineStr">
        <is>
          <t>loan_min_rate</t>
        </is>
      </c>
      <c r="F308" s="2" t="inlineStr">
        <is>
          <t>전북은행 'BEST고정금리모기지론'의 아파트 담보 고정금리 방식 최저금리는 연 몇 %인가?</t>
        </is>
      </c>
      <c r="G308" s="2" t="inlineStr">
        <is>
          <t>numeric</t>
        </is>
      </c>
      <c r="H308" s="2" t="inlineStr">
        <is>
          <t>5.32</t>
        </is>
      </c>
      <c r="I308" s="2" t="inlineStr">
        <is>
          <t>%</t>
        </is>
      </c>
      <c r="J308" s="2" t="inlineStr">
        <is>
          <t>금융감독원 금융상품통합비교공시 Open API (finlife.fss.or.kr), 202608</t>
        </is>
      </c>
      <c r="K308" s="2" t="inlineStr">
        <is>
          <t>전북은행:WR0001B:lend_rate_min(아파트/고정금리)</t>
        </is>
      </c>
      <c r="L308" s="2" t="inlineStr">
        <is>
          <t>5.32</t>
        </is>
      </c>
    </row>
    <row r="309">
      <c r="A309" s="2" t="inlineStr">
        <is>
          <t>PRD-0308</t>
        </is>
      </c>
      <c r="B309" s="2" t="inlineStr">
        <is>
          <t>공시형</t>
        </is>
      </c>
      <c r="C309" s="2" t="inlineStr">
        <is>
          <t>대출</t>
        </is>
      </c>
      <c r="D309" s="2" t="inlineStr">
        <is>
          <t>주택담보대출</t>
        </is>
      </c>
      <c r="E309" s="2" t="inlineStr">
        <is>
          <t>loan_min_rate</t>
        </is>
      </c>
      <c r="F309" s="2" t="inlineStr">
        <is>
          <t>전북은행 'JB우리집대출'에서 아파트 담보 변동금리 방식으로 대출할 때 최저금리는 연 몇 %인가?</t>
        </is>
      </c>
      <c r="G309" s="2" t="inlineStr">
        <is>
          <t>numeric</t>
        </is>
      </c>
      <c r="H309" s="2" t="inlineStr">
        <is>
          <t>4.52</t>
        </is>
      </c>
      <c r="I309" s="2" t="inlineStr">
        <is>
          <t>%</t>
        </is>
      </c>
      <c r="J309" s="2" t="inlineStr">
        <is>
          <t>금융감독원 금융상품통합비교공시 Open API (finlife.fss.or.kr), 202608</t>
        </is>
      </c>
      <c r="K309" s="2" t="inlineStr">
        <is>
          <t>전북은행:WR0001C:lend_rate_min(아파트/변동금리)</t>
        </is>
      </c>
      <c r="L309" s="2" t="inlineStr">
        <is>
          <t>4.52</t>
        </is>
      </c>
    </row>
    <row r="310">
      <c r="A310" s="2" t="inlineStr">
        <is>
          <t>PRD-0309</t>
        </is>
      </c>
      <c r="B310" s="2" t="inlineStr">
        <is>
          <t>공시형</t>
        </is>
      </c>
      <c r="C310" s="2" t="inlineStr">
        <is>
          <t>대출</t>
        </is>
      </c>
      <c r="D310" s="2" t="inlineStr">
        <is>
          <t>주택담보대출</t>
        </is>
      </c>
      <c r="E310" s="2" t="inlineStr">
        <is>
          <t>loan_min_rate</t>
        </is>
      </c>
      <c r="F310" s="2" t="inlineStr">
        <is>
          <t>아파트 담보 고정금리 조건에서 제주은행 '금리safe모기지론' 상품이 공시한 최저금리는 연 몇 %인가?</t>
        </is>
      </c>
      <c r="G310" s="2" t="inlineStr">
        <is>
          <t>numeric</t>
        </is>
      </c>
      <c r="H310" s="2" t="inlineStr">
        <is>
          <t>5.38</t>
        </is>
      </c>
      <c r="I310" s="2" t="inlineStr">
        <is>
          <t>%</t>
        </is>
      </c>
      <c r="J310" s="2" t="inlineStr">
        <is>
          <t>금융감독원 금융상품통합비교공시 Open API (finlife.fss.or.kr), 202608</t>
        </is>
      </c>
      <c r="K310" s="2" t="inlineStr">
        <is>
          <t>제주은행:12106723:lend_rate_min(아파트/고정금리)</t>
        </is>
      </c>
      <c r="L310" s="2" t="inlineStr">
        <is>
          <t>5.38</t>
        </is>
      </c>
    </row>
    <row r="311">
      <c r="A311" s="2" t="inlineStr">
        <is>
          <t>PRD-0310</t>
        </is>
      </c>
      <c r="B311" s="2" t="inlineStr">
        <is>
          <t>공시형</t>
        </is>
      </c>
      <c r="C311" s="2" t="inlineStr">
        <is>
          <t>대출</t>
        </is>
      </c>
      <c r="D311" s="2" t="inlineStr">
        <is>
          <t>주택담보대출</t>
        </is>
      </c>
      <c r="E311" s="2" t="inlineStr">
        <is>
          <t>loan_min_rate</t>
        </is>
      </c>
      <c r="F311" s="2" t="inlineStr">
        <is>
          <t>제주은행 '금리safe모기지론'의 아파트외 담보 고정금리 방식 최저금리는 연 몇 %인가?</t>
        </is>
      </c>
      <c r="G311" s="2" t="inlineStr">
        <is>
          <t>numeric</t>
        </is>
      </c>
      <c r="H311" s="2" t="inlineStr">
        <is>
          <t>5.38</t>
        </is>
      </c>
      <c r="I311" s="2" t="inlineStr">
        <is>
          <t>%</t>
        </is>
      </c>
      <c r="J311" s="2" t="inlineStr">
        <is>
          <t>금융감독원 금융상품통합비교공시 Open API (finlife.fss.or.kr), 202608</t>
        </is>
      </c>
      <c r="K311" s="2" t="inlineStr">
        <is>
          <t>제주은행:12106723:lend_rate_min(아파트외/고정금리)</t>
        </is>
      </c>
      <c r="L311" s="2" t="inlineStr">
        <is>
          <t>5.38</t>
        </is>
      </c>
    </row>
    <row r="312">
      <c r="A312" s="2" t="inlineStr">
        <is>
          <t>PRD-0311</t>
        </is>
      </c>
      <c r="B312" s="2" t="inlineStr">
        <is>
          <t>공시형</t>
        </is>
      </c>
      <c r="C312" s="2" t="inlineStr">
        <is>
          <t>대출</t>
        </is>
      </c>
      <c r="D312" s="2" t="inlineStr">
        <is>
          <t>주택담보대출</t>
        </is>
      </c>
      <c r="E312" s="2" t="inlineStr">
        <is>
          <t>loan_min_rate</t>
        </is>
      </c>
      <c r="F312" s="2" t="inlineStr">
        <is>
          <t>제주은행 '제주홈대출'의 아파트 담보 변동금리 방식 최저금리는 연 몇 %인가?</t>
        </is>
      </c>
      <c r="G312" s="2" t="inlineStr">
        <is>
          <t>numeric</t>
        </is>
      </c>
      <c r="H312" s="2" t="inlineStr">
        <is>
          <t>4.52</t>
        </is>
      </c>
      <c r="I312" s="2" t="inlineStr">
        <is>
          <t>%</t>
        </is>
      </c>
      <c r="J312" s="2" t="inlineStr">
        <is>
          <t>금융감독원 금융상품통합비교공시 Open API (finlife.fss.or.kr), 202608</t>
        </is>
      </c>
      <c r="K312" s="2" t="inlineStr">
        <is>
          <t>제주은행:12107084:lend_rate_min(아파트/변동금리)</t>
        </is>
      </c>
      <c r="L312" s="2" t="inlineStr">
        <is>
          <t>4.52</t>
        </is>
      </c>
    </row>
    <row r="313">
      <c r="A313" s="2" t="inlineStr">
        <is>
          <t>PRD-0312</t>
        </is>
      </c>
      <c r="B313" s="2" t="inlineStr">
        <is>
          <t>공시형</t>
        </is>
      </c>
      <c r="C313" s="2" t="inlineStr">
        <is>
          <t>대출</t>
        </is>
      </c>
      <c r="D313" s="2" t="inlineStr">
        <is>
          <t>주택담보대출</t>
        </is>
      </c>
      <c r="E313" s="2" t="inlineStr">
        <is>
          <t>loan_min_rate</t>
        </is>
      </c>
      <c r="F313" s="2" t="inlineStr">
        <is>
          <t>제주은행 '제주홈대출'에서 아파트외 담보 변동금리 방식으로 대출할 때 최저금리는 연 몇 %인가?</t>
        </is>
      </c>
      <c r="G313" s="2" t="inlineStr">
        <is>
          <t>numeric</t>
        </is>
      </c>
      <c r="H313" s="2" t="inlineStr">
        <is>
          <t>5.14</t>
        </is>
      </c>
      <c r="I313" s="2" t="inlineStr">
        <is>
          <t>%</t>
        </is>
      </c>
      <c r="J313" s="2" t="inlineStr">
        <is>
          <t>금융감독원 금융상품통합비교공시 Open API (finlife.fss.or.kr), 202608</t>
        </is>
      </c>
      <c r="K313" s="2" t="inlineStr">
        <is>
          <t>제주은행:12107084:lend_rate_min(아파트외/변동금리)</t>
        </is>
      </c>
      <c r="L313" s="2" t="inlineStr">
        <is>
          <t>5.14</t>
        </is>
      </c>
    </row>
    <row r="314">
      <c r="A314" s="2" t="inlineStr">
        <is>
          <t>PRD-0313</t>
        </is>
      </c>
      <c r="B314" s="2" t="inlineStr">
        <is>
          <t>공시형</t>
        </is>
      </c>
      <c r="C314" s="2" t="inlineStr">
        <is>
          <t>대출</t>
        </is>
      </c>
      <c r="D314" s="2" t="inlineStr">
        <is>
          <t>주택담보대출</t>
        </is>
      </c>
      <c r="E314" s="2" t="inlineStr">
        <is>
          <t>loan_min_rate</t>
        </is>
      </c>
      <c r="F314" s="2" t="inlineStr">
        <is>
          <t>제주은행 '제주장기모기지론'의 아파트외 담보 변동금리 방식 최저금리는 연 몇 %인가?</t>
        </is>
      </c>
      <c r="G314" s="2" t="inlineStr">
        <is>
          <t>numeric</t>
        </is>
      </c>
      <c r="H314" s="2" t="inlineStr">
        <is>
          <t>5.14</t>
        </is>
      </c>
      <c r="I314" s="2" t="inlineStr">
        <is>
          <t>%</t>
        </is>
      </c>
      <c r="J314" s="2" t="inlineStr">
        <is>
          <t>금융감독원 금융상품통합비교공시 Open API (finlife.fss.or.kr), 202608</t>
        </is>
      </c>
      <c r="K314" s="2" t="inlineStr">
        <is>
          <t>제주은행:12109121:lend_rate_min(아파트외/변동금리)</t>
        </is>
      </c>
      <c r="L314" s="2" t="inlineStr">
        <is>
          <t>5.14</t>
        </is>
      </c>
    </row>
    <row r="315">
      <c r="A315" s="2" t="inlineStr">
        <is>
          <t>PRD-0314</t>
        </is>
      </c>
      <c r="B315" s="2" t="inlineStr">
        <is>
          <t>공시형</t>
        </is>
      </c>
      <c r="C315" s="2" t="inlineStr">
        <is>
          <t>대출</t>
        </is>
      </c>
      <c r="D315" s="2" t="inlineStr">
        <is>
          <t>주택담보대출</t>
        </is>
      </c>
      <c r="E315" s="2" t="inlineStr">
        <is>
          <t>loan_min_rate</t>
        </is>
      </c>
      <c r="F315" s="2" t="inlineStr">
        <is>
          <t>아파트 담보 변동금리 조건에서 제주은행 '제주장기모기지론' 상품이 공시한 최저금리는 연 몇 %인가?</t>
        </is>
      </c>
      <c r="G315" s="2" t="inlineStr">
        <is>
          <t>numeric</t>
        </is>
      </c>
      <c r="H315" s="2" t="inlineStr">
        <is>
          <t>5.14</t>
        </is>
      </c>
      <c r="I315" s="2" t="inlineStr">
        <is>
          <t>%</t>
        </is>
      </c>
      <c r="J315" s="2" t="inlineStr">
        <is>
          <t>금융감독원 금융상품통합비교공시 Open API (finlife.fss.or.kr), 202608</t>
        </is>
      </c>
      <c r="K315" s="2" t="inlineStr">
        <is>
          <t>제주은행:12109121:lend_rate_min(아파트/변동금리)</t>
        </is>
      </c>
      <c r="L315" s="2" t="inlineStr">
        <is>
          <t>5.14</t>
        </is>
      </c>
    </row>
    <row r="316">
      <c r="A316" s="2" t="inlineStr">
        <is>
          <t>PRD-0315</t>
        </is>
      </c>
      <c r="B316" s="2" t="inlineStr">
        <is>
          <t>공시형</t>
        </is>
      </c>
      <c r="C316" s="2" t="inlineStr">
        <is>
          <t>대출</t>
        </is>
      </c>
      <c r="D316" s="2" t="inlineStr">
        <is>
          <t>주택담보대출</t>
        </is>
      </c>
      <c r="E316" s="2" t="inlineStr">
        <is>
          <t>loan_min_rate</t>
        </is>
      </c>
      <c r="F316" s="2" t="inlineStr">
        <is>
          <t>아파트 담보 변동금리 조건에서 주식회사 카카오뱅크 '주택담보대출' 상품이 공시한 최저금리는 연 몇 %인가?</t>
        </is>
      </c>
      <c r="G316" s="2" t="inlineStr">
        <is>
          <t>numeric</t>
        </is>
      </c>
      <c r="H316" s="2" t="inlineStr">
        <is>
          <t>4.01</t>
        </is>
      </c>
      <c r="I316" s="2" t="inlineStr">
        <is>
          <t>%</t>
        </is>
      </c>
      <c r="J316" s="2" t="inlineStr">
        <is>
          <t>금융감독원 금융상품통합비교공시 Open API (finlife.fss.or.kr), 202608</t>
        </is>
      </c>
      <c r="K316" s="2" t="inlineStr">
        <is>
          <t>주식회사 카카오뱅크:03005:lend_rate_min(아파트/변동금리)</t>
        </is>
      </c>
      <c r="L316" s="2" t="inlineStr">
        <is>
          <t>4.01</t>
        </is>
      </c>
    </row>
    <row r="317">
      <c r="A317" s="2" t="inlineStr">
        <is>
          <t>PRD-0316</t>
        </is>
      </c>
      <c r="B317" s="2" t="inlineStr">
        <is>
          <t>공시형</t>
        </is>
      </c>
      <c r="C317" s="2" t="inlineStr">
        <is>
          <t>대출</t>
        </is>
      </c>
      <c r="D317" s="2" t="inlineStr">
        <is>
          <t>주택담보대출</t>
        </is>
      </c>
      <c r="E317" s="2" t="inlineStr">
        <is>
          <t>loan_min_rate</t>
        </is>
      </c>
      <c r="F317" s="2" t="inlineStr">
        <is>
          <t>아파트외 담보 변동금리 조건에서 주식회사 카카오뱅크 '주택담보대출' 상품이 공시한 최저금리는 연 몇 %인가?</t>
        </is>
      </c>
      <c r="G317" s="2" t="inlineStr">
        <is>
          <t>numeric</t>
        </is>
      </c>
      <c r="H317" s="2" t="inlineStr">
        <is>
          <t>4.18</t>
        </is>
      </c>
      <c r="I317" s="2" t="inlineStr">
        <is>
          <t>%</t>
        </is>
      </c>
      <c r="J317" s="2" t="inlineStr">
        <is>
          <t>금융감독원 금융상품통합비교공시 Open API (finlife.fss.or.kr), 202608</t>
        </is>
      </c>
      <c r="K317" s="2" t="inlineStr">
        <is>
          <t>주식회사 카카오뱅크:03005:lend_rate_min(아파트외/변동금리)</t>
        </is>
      </c>
      <c r="L317" s="2" t="inlineStr">
        <is>
          <t>4.18</t>
        </is>
      </c>
    </row>
    <row r="318">
      <c r="A318" s="2" t="inlineStr">
        <is>
          <t>PRD-0317</t>
        </is>
      </c>
      <c r="B318" s="2" t="inlineStr">
        <is>
          <t>공시형</t>
        </is>
      </c>
      <c r="C318" s="2" t="inlineStr">
        <is>
          <t>대출</t>
        </is>
      </c>
      <c r="D318" s="2" t="inlineStr">
        <is>
          <t>주택담보대출</t>
        </is>
      </c>
      <c r="E318" s="2" t="inlineStr">
        <is>
          <t>loan_rate_type</t>
        </is>
      </c>
      <c r="F318" s="2" t="inlineStr">
        <is>
          <t>경남은행 '집집마다 도움대출II'의 금리 방식 옵션에 고정금리가 있는가?</t>
        </is>
      </c>
      <c r="G318" s="2" t="inlineStr">
        <is>
          <t>boolean</t>
        </is>
      </c>
      <c r="H318" s="2" t="inlineStr">
        <is>
          <t>YES</t>
        </is>
      </c>
      <c r="I318" s="2" t="inlineStr"/>
      <c r="J318" s="2" t="inlineStr">
        <is>
          <t>금융감독원 금융상품통합비교공시 Open API (finlife.fss.or.kr), 202608</t>
        </is>
      </c>
      <c r="K318" s="2" t="inlineStr">
        <is>
          <t>경남은행:30002130:lend_rate_type_nm</t>
        </is>
      </c>
      <c r="L318" s="2" t="inlineStr">
        <is>
          <t>고정금리, 변동금리</t>
        </is>
      </c>
    </row>
    <row r="319">
      <c r="A319" s="2" t="inlineStr">
        <is>
          <t>PRD-0318</t>
        </is>
      </c>
      <c r="B319" s="2" t="inlineStr">
        <is>
          <t>공시형</t>
        </is>
      </c>
      <c r="C319" s="2" t="inlineStr">
        <is>
          <t>대출</t>
        </is>
      </c>
      <c r="D319" s="2" t="inlineStr">
        <is>
          <t>주택담보대출</t>
        </is>
      </c>
      <c r="E319" s="2" t="inlineStr">
        <is>
          <t>loan_rate_type</t>
        </is>
      </c>
      <c r="F319" s="2" t="inlineStr">
        <is>
          <t>경남은행 'BNK모바일주택담보대출'에서 고정금리 방식을 선택할 수 있는가?</t>
        </is>
      </c>
      <c r="G319" s="2" t="inlineStr">
        <is>
          <t>boolean</t>
        </is>
      </c>
      <c r="H319" s="2" t="inlineStr">
        <is>
          <t>YES</t>
        </is>
      </c>
      <c r="I319" s="2" t="inlineStr"/>
      <c r="J319" s="2" t="inlineStr">
        <is>
          <t>금융감독원 금융상품통합비교공시 Open API (finlife.fss.or.kr), 202608</t>
        </is>
      </c>
      <c r="K319" s="2" t="inlineStr">
        <is>
          <t>경남은행:30002497:lend_rate_type_nm</t>
        </is>
      </c>
      <c r="L319" s="2" t="inlineStr">
        <is>
          <t>고정금리, 변동금리</t>
        </is>
      </c>
    </row>
    <row r="320">
      <c r="A320" s="2" t="inlineStr">
        <is>
          <t>PRD-0319</t>
        </is>
      </c>
      <c r="B320" s="2" t="inlineStr">
        <is>
          <t>공시형</t>
        </is>
      </c>
      <c r="C320" s="2" t="inlineStr">
        <is>
          <t>대출</t>
        </is>
      </c>
      <c r="D320" s="2" t="inlineStr">
        <is>
          <t>주택담보대출</t>
        </is>
      </c>
      <c r="E320" s="2" t="inlineStr">
        <is>
          <t>loan_rate_type</t>
        </is>
      </c>
      <c r="F320" s="2" t="inlineStr">
        <is>
          <t>광주은행 'KJB셀렉트 주택담보대출'의 금리 방식 옵션에 고정금리가 있는가?</t>
        </is>
      </c>
      <c r="G320" s="2" t="inlineStr">
        <is>
          <t>boolean</t>
        </is>
      </c>
      <c r="H320" s="2" t="inlineStr">
        <is>
          <t>YES</t>
        </is>
      </c>
      <c r="I320" s="2" t="inlineStr"/>
      <c r="J320" s="2" t="inlineStr">
        <is>
          <t>금융감독원 금융상품통합비교공시 Open API (finlife.fss.or.kr), 202608</t>
        </is>
      </c>
      <c r="K320" s="2" t="inlineStr">
        <is>
          <t>광주은행:LN11010001732:lend_rate_type_nm</t>
        </is>
      </c>
      <c r="L320" s="2" t="inlineStr">
        <is>
          <t>고정금리, 변동금리</t>
        </is>
      </c>
    </row>
    <row r="321">
      <c r="A321" s="2" t="inlineStr">
        <is>
          <t>PRD-0320</t>
        </is>
      </c>
      <c r="B321" s="2" t="inlineStr">
        <is>
          <t>공시형</t>
        </is>
      </c>
      <c r="C321" s="2" t="inlineStr">
        <is>
          <t>대출</t>
        </is>
      </c>
      <c r="D321" s="2" t="inlineStr">
        <is>
          <t>주택담보대출</t>
        </is>
      </c>
      <c r="E321" s="2" t="inlineStr">
        <is>
          <t>loan_rate_type</t>
        </is>
      </c>
      <c r="F321" s="2" t="inlineStr">
        <is>
          <t>국민은행 'KB주택담보대출변동 (일반자금)'에서 변동금리 방식을 선택할 수 있는가?</t>
        </is>
      </c>
      <c r="G321" s="2" t="inlineStr">
        <is>
          <t>boolean</t>
        </is>
      </c>
      <c r="H321" s="2" t="inlineStr">
        <is>
          <t>YES</t>
        </is>
      </c>
      <c r="I321" s="2" t="inlineStr"/>
      <c r="J321" s="2" t="inlineStr">
        <is>
          <t>금융감독원 금융상품통합비교공시 Open API (finlife.fss.or.kr), 202608</t>
        </is>
      </c>
      <c r="K321" s="2" t="inlineStr">
        <is>
          <t>국민은행:KB200300000002:lend_rate_type_nm</t>
        </is>
      </c>
      <c r="L321" s="2" t="inlineStr">
        <is>
          <t>변동금리</t>
        </is>
      </c>
    </row>
    <row r="322">
      <c r="A322" s="2" t="inlineStr">
        <is>
          <t>PRD-0321</t>
        </is>
      </c>
      <c r="B322" s="2" t="inlineStr">
        <is>
          <t>공시형</t>
        </is>
      </c>
      <c r="C322" s="2" t="inlineStr">
        <is>
          <t>대출</t>
        </is>
      </c>
      <c r="D322" s="2" t="inlineStr">
        <is>
          <t>주택담보대출</t>
        </is>
      </c>
      <c r="E322" s="2" t="inlineStr">
        <is>
          <t>loan_rate_type</t>
        </is>
      </c>
      <c r="F322" s="2" t="inlineStr">
        <is>
          <t>국민은행 'KB주택담보대출변동 (일반자금)'의 금리 방식 옵션에 고정금리가 있는가?</t>
        </is>
      </c>
      <c r="G322" s="2" t="inlineStr">
        <is>
          <t>boolean</t>
        </is>
      </c>
      <c r="H322" s="2" t="inlineStr">
        <is>
          <t>NO</t>
        </is>
      </c>
      <c r="I322" s="2" t="inlineStr"/>
      <c r="J322" s="2" t="inlineStr">
        <is>
          <t>금융감독원 금융상품통합비교공시 Open API (finlife.fss.or.kr), 202608</t>
        </is>
      </c>
      <c r="K322" s="2" t="inlineStr">
        <is>
          <t>국민은행:KB200300000002:lend_rate_type_nm</t>
        </is>
      </c>
      <c r="L322" s="2" t="inlineStr">
        <is>
          <t>변동금리</t>
        </is>
      </c>
    </row>
    <row r="323">
      <c r="A323" s="2" t="inlineStr">
        <is>
          <t>PRD-0322</t>
        </is>
      </c>
      <c r="B323" s="2" t="inlineStr">
        <is>
          <t>공시형</t>
        </is>
      </c>
      <c r="C323" s="2" t="inlineStr">
        <is>
          <t>대출</t>
        </is>
      </c>
      <c r="D323" s="2" t="inlineStr">
        <is>
          <t>주택담보대출</t>
        </is>
      </c>
      <c r="E323" s="2" t="inlineStr">
        <is>
          <t>loan_rate_type</t>
        </is>
      </c>
      <c r="F323" s="2" t="inlineStr">
        <is>
          <t>국민은행 'KB스타 아파트담보대출 혼합금리(주택자금)'의 금리 방식 옵션에 고정금리가 있는가?</t>
        </is>
      </c>
      <c r="G323" s="2" t="inlineStr">
        <is>
          <t>boolean</t>
        </is>
      </c>
      <c r="H323" s="2" t="inlineStr">
        <is>
          <t>YES</t>
        </is>
      </c>
      <c r="I323" s="2" t="inlineStr"/>
      <c r="J323" s="2" t="inlineStr">
        <is>
          <t>금융감독원 금융상품통합비교공시 Open API (finlife.fss.or.kr), 202608</t>
        </is>
      </c>
      <c r="K323" s="2" t="inlineStr">
        <is>
          <t>국민은행:KB200331100045:lend_rate_type_nm</t>
        </is>
      </c>
      <c r="L323" s="2" t="inlineStr">
        <is>
          <t>고정금리</t>
        </is>
      </c>
    </row>
    <row r="324">
      <c r="A324" s="2" t="inlineStr">
        <is>
          <t>PRD-0323</t>
        </is>
      </c>
      <c r="B324" s="2" t="inlineStr">
        <is>
          <t>공시형</t>
        </is>
      </c>
      <c r="C324" s="2" t="inlineStr">
        <is>
          <t>대출</t>
        </is>
      </c>
      <c r="D324" s="2" t="inlineStr">
        <is>
          <t>주택담보대출</t>
        </is>
      </c>
      <c r="E324" s="2" t="inlineStr">
        <is>
          <t>loan_rate_type</t>
        </is>
      </c>
      <c r="F324" s="2" t="inlineStr">
        <is>
          <t>국민은행 'KB스타 아파트담보대출 혼합금리(주택자금)'의 금리 방식 옵션에 변동금리가 있는가?</t>
        </is>
      </c>
      <c r="G324" s="2" t="inlineStr">
        <is>
          <t>boolean</t>
        </is>
      </c>
      <c r="H324" s="2" t="inlineStr">
        <is>
          <t>NO</t>
        </is>
      </c>
      <c r="I324" s="2" t="inlineStr"/>
      <c r="J324" s="2" t="inlineStr">
        <is>
          <t>금융감독원 금융상품통합비교공시 Open API (finlife.fss.or.kr), 202608</t>
        </is>
      </c>
      <c r="K324" s="2" t="inlineStr">
        <is>
          <t>국민은행:KB200331100045:lend_rate_type_nm</t>
        </is>
      </c>
      <c r="L324" s="2" t="inlineStr">
        <is>
          <t>고정금리</t>
        </is>
      </c>
    </row>
    <row r="325">
      <c r="A325" s="2" t="inlineStr">
        <is>
          <t>PRD-0324</t>
        </is>
      </c>
      <c r="B325" s="2" t="inlineStr">
        <is>
          <t>공시형</t>
        </is>
      </c>
      <c r="C325" s="2" t="inlineStr">
        <is>
          <t>대출</t>
        </is>
      </c>
      <c r="D325" s="2" t="inlineStr">
        <is>
          <t>주택담보대출</t>
        </is>
      </c>
      <c r="E325" s="2" t="inlineStr">
        <is>
          <t>loan_rate_type</t>
        </is>
      </c>
      <c r="F325" s="2" t="inlineStr">
        <is>
          <t>고정금리 방식으로 농협은행주식회사 'NH주택담보대출' 대출을 받는 것이 가능한가?</t>
        </is>
      </c>
      <c r="G325" s="2" t="inlineStr">
        <is>
          <t>boolean</t>
        </is>
      </c>
      <c r="H325" s="2" t="inlineStr">
        <is>
          <t>YES</t>
        </is>
      </c>
      <c r="I325" s="2" t="inlineStr"/>
      <c r="J325" s="2" t="inlineStr">
        <is>
          <t>금융감독원 금융상품통합비교공시 Open API (finlife.fss.or.kr), 202608</t>
        </is>
      </c>
      <c r="K325" s="2" t="inlineStr">
        <is>
          <t>농협은행주식회사:2001104780001:lend_rate_type_nm</t>
        </is>
      </c>
      <c r="L325" s="2" t="inlineStr">
        <is>
          <t>고정금리, 변동금리</t>
        </is>
      </c>
    </row>
    <row r="326">
      <c r="A326" s="2" t="inlineStr">
        <is>
          <t>PRD-0325</t>
        </is>
      </c>
      <c r="B326" s="2" t="inlineStr">
        <is>
          <t>공시형</t>
        </is>
      </c>
      <c r="C326" s="2" t="inlineStr">
        <is>
          <t>대출</t>
        </is>
      </c>
      <c r="D326" s="2" t="inlineStr">
        <is>
          <t>주택담보대출</t>
        </is>
      </c>
      <c r="E326" s="2" t="inlineStr">
        <is>
          <t>loan_rate_type</t>
        </is>
      </c>
      <c r="F326" s="2" t="inlineStr">
        <is>
          <t>농협은행주식회사 '채움고정금리모기지론'의 금리 방식 옵션에 고정금리가 있는가?</t>
        </is>
      </c>
      <c r="G326" s="2" t="inlineStr">
        <is>
          <t>boolean</t>
        </is>
      </c>
      <c r="H326" s="2" t="inlineStr">
        <is>
          <t>YES</t>
        </is>
      </c>
      <c r="I326" s="2" t="inlineStr"/>
      <c r="J326" s="2" t="inlineStr">
        <is>
          <t>금융감독원 금융상품통합비교공시 Open API (finlife.fss.or.kr), 202608</t>
        </is>
      </c>
      <c r="K326" s="2" t="inlineStr">
        <is>
          <t>농협은행주식회사:2001108370003:lend_rate_type_nm</t>
        </is>
      </c>
      <c r="L326" s="2" t="inlineStr">
        <is>
          <t>고정금리</t>
        </is>
      </c>
    </row>
    <row r="327">
      <c r="A327" s="2" t="inlineStr">
        <is>
          <t>PRD-0326</t>
        </is>
      </c>
      <c r="B327" s="2" t="inlineStr">
        <is>
          <t>공시형</t>
        </is>
      </c>
      <c r="C327" s="2" t="inlineStr">
        <is>
          <t>대출</t>
        </is>
      </c>
      <c r="D327" s="2" t="inlineStr">
        <is>
          <t>주택담보대출</t>
        </is>
      </c>
      <c r="E327" s="2" t="inlineStr">
        <is>
          <t>loan_rate_type</t>
        </is>
      </c>
      <c r="F327" s="2" t="inlineStr">
        <is>
          <t>농협은행주식회사 '채움고정금리모기지론'의 금리 방식 옵션에 변동금리가 있는가?</t>
        </is>
      </c>
      <c r="G327" s="2" t="inlineStr">
        <is>
          <t>boolean</t>
        </is>
      </c>
      <c r="H327" s="2" t="inlineStr">
        <is>
          <t>NO</t>
        </is>
      </c>
      <c r="I327" s="2" t="inlineStr"/>
      <c r="J327" s="2" t="inlineStr">
        <is>
          <t>금융감독원 금융상품통합비교공시 Open API (finlife.fss.or.kr), 202608</t>
        </is>
      </c>
      <c r="K327" s="2" t="inlineStr">
        <is>
          <t>농협은행주식회사:2001108370003:lend_rate_type_nm</t>
        </is>
      </c>
      <c r="L327" s="2" t="inlineStr">
        <is>
          <t>고정금리</t>
        </is>
      </c>
    </row>
    <row r="328">
      <c r="A328" s="2" t="inlineStr">
        <is>
          <t>PRD-0327</t>
        </is>
      </c>
      <c r="B328" s="2" t="inlineStr">
        <is>
          <t>공시형</t>
        </is>
      </c>
      <c r="C328" s="2" t="inlineStr">
        <is>
          <t>대출</t>
        </is>
      </c>
      <c r="D328" s="2" t="inlineStr">
        <is>
          <t>주택담보대출</t>
        </is>
      </c>
      <c r="E328" s="2" t="inlineStr">
        <is>
          <t>loan_rate_type</t>
        </is>
      </c>
      <c r="F328" s="2" t="inlineStr">
        <is>
          <t>부산은행 'BNK행복스케치 모기지론'에서 변동금리 방식을 선택할 수 있는가?</t>
        </is>
      </c>
      <c r="G328" s="2" t="inlineStr">
        <is>
          <t>boolean</t>
        </is>
      </c>
      <c r="H328" s="2" t="inlineStr">
        <is>
          <t>YES</t>
        </is>
      </c>
      <c r="I328" s="2" t="inlineStr"/>
      <c r="J328" s="2" t="inlineStr">
        <is>
          <t>금융감독원 금융상품통합비교공시 Open API (finlife.fss.or.kr), 202608</t>
        </is>
      </c>
      <c r="K328" s="2" t="inlineStr">
        <is>
          <t>부산은행:0519:lend_rate_type_nm</t>
        </is>
      </c>
      <c r="L328" s="2" t="inlineStr">
        <is>
          <t>변동금리</t>
        </is>
      </c>
    </row>
    <row r="329">
      <c r="A329" s="2" t="inlineStr">
        <is>
          <t>PRD-0328</t>
        </is>
      </c>
      <c r="B329" s="2" t="inlineStr">
        <is>
          <t>공시형</t>
        </is>
      </c>
      <c r="C329" s="2" t="inlineStr">
        <is>
          <t>대출</t>
        </is>
      </c>
      <c r="D329" s="2" t="inlineStr">
        <is>
          <t>주택담보대출</t>
        </is>
      </c>
      <c r="E329" s="2" t="inlineStr">
        <is>
          <t>loan_rate_type</t>
        </is>
      </c>
      <c r="F329" s="2" t="inlineStr">
        <is>
          <t>부산은행 'BNK행복스케치 모기지론'에서 고정금리 방식을 선택할 수 있는가?</t>
        </is>
      </c>
      <c r="G329" s="2" t="inlineStr">
        <is>
          <t>boolean</t>
        </is>
      </c>
      <c r="H329" s="2" t="inlineStr">
        <is>
          <t>NO</t>
        </is>
      </c>
      <c r="I329" s="2" t="inlineStr"/>
      <c r="J329" s="2" t="inlineStr">
        <is>
          <t>금융감독원 금융상품통합비교공시 Open API (finlife.fss.or.kr), 202608</t>
        </is>
      </c>
      <c r="K329" s="2" t="inlineStr">
        <is>
          <t>부산은행:0519:lend_rate_type_nm</t>
        </is>
      </c>
      <c r="L329" s="2" t="inlineStr">
        <is>
          <t>변동금리</t>
        </is>
      </c>
    </row>
    <row r="330">
      <c r="A330" s="2" t="inlineStr">
        <is>
          <t>PRD-0329</t>
        </is>
      </c>
      <c r="B330" s="2" t="inlineStr">
        <is>
          <t>공시형</t>
        </is>
      </c>
      <c r="C330" s="2" t="inlineStr">
        <is>
          <t>대출</t>
        </is>
      </c>
      <c r="D330" s="2" t="inlineStr">
        <is>
          <t>주택담보대출</t>
        </is>
      </c>
      <c r="E330" s="2" t="inlineStr">
        <is>
          <t>loan_rate_type</t>
        </is>
      </c>
      <c r="F330" s="2" t="inlineStr">
        <is>
          <t>고정금리 방식으로 부산은행 'BNK357금리안심모기지론' 대출을 받는 것이 가능한가?</t>
        </is>
      </c>
      <c r="G330" s="2" t="inlineStr">
        <is>
          <t>boolean</t>
        </is>
      </c>
      <c r="H330" s="2" t="inlineStr">
        <is>
          <t>YES</t>
        </is>
      </c>
      <c r="I330" s="2" t="inlineStr"/>
      <c r="J330" s="2" t="inlineStr">
        <is>
          <t>금융감독원 금융상품통합비교공시 Open API (finlife.fss.or.kr), 202608</t>
        </is>
      </c>
      <c r="K330" s="2" t="inlineStr">
        <is>
          <t>부산은행:0599:lend_rate_type_nm</t>
        </is>
      </c>
      <c r="L330" s="2" t="inlineStr">
        <is>
          <t>고정금리</t>
        </is>
      </c>
    </row>
    <row r="331">
      <c r="A331" s="2" t="inlineStr">
        <is>
          <t>PRD-0330</t>
        </is>
      </c>
      <c r="B331" s="2" t="inlineStr">
        <is>
          <t>공시형</t>
        </is>
      </c>
      <c r="C331" s="2" t="inlineStr">
        <is>
          <t>대출</t>
        </is>
      </c>
      <c r="D331" s="2" t="inlineStr">
        <is>
          <t>주택담보대출</t>
        </is>
      </c>
      <c r="E331" s="2" t="inlineStr">
        <is>
          <t>loan_rate_type</t>
        </is>
      </c>
      <c r="F331" s="2" t="inlineStr">
        <is>
          <t>변동금리 방식으로 부산은행 'BNK357금리안심모기지론' 대출을 받는 것이 가능한가?</t>
        </is>
      </c>
      <c r="G331" s="2" t="inlineStr">
        <is>
          <t>boolean</t>
        </is>
      </c>
      <c r="H331" s="2" t="inlineStr">
        <is>
          <t>NO</t>
        </is>
      </c>
      <c r="I331" s="2" t="inlineStr"/>
      <c r="J331" s="2" t="inlineStr">
        <is>
          <t>금융감독원 금융상품통합비교공시 Open API (finlife.fss.or.kr), 202608</t>
        </is>
      </c>
      <c r="K331" s="2" t="inlineStr">
        <is>
          <t>부산은행:0599:lend_rate_type_nm</t>
        </is>
      </c>
      <c r="L331" s="2" t="inlineStr">
        <is>
          <t>고정금리</t>
        </is>
      </c>
    </row>
    <row r="332">
      <c r="A332" s="2" t="inlineStr">
        <is>
          <t>PRD-0331</t>
        </is>
      </c>
      <c r="B332" s="2" t="inlineStr">
        <is>
          <t>공시형</t>
        </is>
      </c>
      <c r="C332" s="2" t="inlineStr">
        <is>
          <t>대출</t>
        </is>
      </c>
      <c r="D332" s="2" t="inlineStr">
        <is>
          <t>주택담보대출</t>
        </is>
      </c>
      <c r="E332" s="2" t="inlineStr">
        <is>
          <t>loan_rate_type</t>
        </is>
      </c>
      <c r="F332" s="2" t="inlineStr">
        <is>
          <t>고정금리 방식으로 부산은행 'ONE주택담보대출' 대출을 받는 것이 가능한가?</t>
        </is>
      </c>
      <c r="G332" s="2" t="inlineStr">
        <is>
          <t>boolean</t>
        </is>
      </c>
      <c r="H332" s="2" t="inlineStr">
        <is>
          <t>YES</t>
        </is>
      </c>
      <c r="I332" s="2" t="inlineStr"/>
      <c r="J332" s="2" t="inlineStr">
        <is>
          <t>금융감독원 금융상품통합비교공시 Open API (finlife.fss.or.kr), 202608</t>
        </is>
      </c>
      <c r="K332" s="2" t="inlineStr">
        <is>
          <t>부산은행:1744:lend_rate_type_nm</t>
        </is>
      </c>
      <c r="L332" s="2" t="inlineStr">
        <is>
          <t>고정금리</t>
        </is>
      </c>
    </row>
    <row r="333">
      <c r="A333" s="2" t="inlineStr">
        <is>
          <t>PRD-0332</t>
        </is>
      </c>
      <c r="B333" s="2" t="inlineStr">
        <is>
          <t>공시형</t>
        </is>
      </c>
      <c r="C333" s="2" t="inlineStr">
        <is>
          <t>대출</t>
        </is>
      </c>
      <c r="D333" s="2" t="inlineStr">
        <is>
          <t>주택담보대출</t>
        </is>
      </c>
      <c r="E333" s="2" t="inlineStr">
        <is>
          <t>loan_rate_type</t>
        </is>
      </c>
      <c r="F333" s="2" t="inlineStr">
        <is>
          <t>부산은행 'ONE주택담보대출'에서 변동금리 방식을 선택할 수 있는가?</t>
        </is>
      </c>
      <c r="G333" s="2" t="inlineStr">
        <is>
          <t>boolean</t>
        </is>
      </c>
      <c r="H333" s="2" t="inlineStr">
        <is>
          <t>NO</t>
        </is>
      </c>
      <c r="I333" s="2" t="inlineStr"/>
      <c r="J333" s="2" t="inlineStr">
        <is>
          <t>금융감독원 금융상품통합비교공시 Open API (finlife.fss.or.kr), 202608</t>
        </is>
      </c>
      <c r="K333" s="2" t="inlineStr">
        <is>
          <t>부산은행:1744:lend_rate_type_nm</t>
        </is>
      </c>
      <c r="L333" s="2" t="inlineStr">
        <is>
          <t>고정금리</t>
        </is>
      </c>
    </row>
    <row r="334">
      <c r="A334" s="2" t="inlineStr">
        <is>
          <t>PRD-0333</t>
        </is>
      </c>
      <c r="B334" s="2" t="inlineStr">
        <is>
          <t>공시형</t>
        </is>
      </c>
      <c r="C334" s="2" t="inlineStr">
        <is>
          <t>대출</t>
        </is>
      </c>
      <c r="D334" s="2" t="inlineStr">
        <is>
          <t>주택담보대출</t>
        </is>
      </c>
      <c r="E334" s="2" t="inlineStr">
        <is>
          <t>loan_rate_type</t>
        </is>
      </c>
      <c r="F334" s="2" t="inlineStr">
        <is>
          <t>수협은행 'SH으뜸모기지론'의 금리 방식 옵션에 고정금리가 있는가?</t>
        </is>
      </c>
      <c r="G334" s="2" t="inlineStr">
        <is>
          <t>boolean</t>
        </is>
      </c>
      <c r="H334" s="2" t="inlineStr">
        <is>
          <t>YES</t>
        </is>
      </c>
      <c r="I334" s="2" t="inlineStr"/>
      <c r="J334" s="2" t="inlineStr">
        <is>
          <t>금융감독원 금융상품통합비교공시 Open API (finlife.fss.or.kr), 202608</t>
        </is>
      </c>
      <c r="K334" s="2" t="inlineStr">
        <is>
          <t>수협은행:1167:lend_rate_type_nm</t>
        </is>
      </c>
      <c r="L334" s="2" t="inlineStr">
        <is>
          <t>고정금리, 변동금리</t>
        </is>
      </c>
    </row>
    <row r="335">
      <c r="A335" s="2" t="inlineStr">
        <is>
          <t>PRD-0334</t>
        </is>
      </c>
      <c r="B335" s="2" t="inlineStr">
        <is>
          <t>공시형</t>
        </is>
      </c>
      <c r="C335" s="2" t="inlineStr">
        <is>
          <t>대출</t>
        </is>
      </c>
      <c r="D335" s="2" t="inlineStr">
        <is>
          <t>주택담보대출</t>
        </is>
      </c>
      <c r="E335" s="2" t="inlineStr">
        <is>
          <t>loan_rate_type</t>
        </is>
      </c>
      <c r="F335" s="2" t="inlineStr">
        <is>
          <t>고정금리 방식으로 신한은행 '신한주택대출(아파트)' 대출을 받는 것이 가능한가?</t>
        </is>
      </c>
      <c r="G335" s="2" t="inlineStr">
        <is>
          <t>boolean</t>
        </is>
      </c>
      <c r="H335" s="2" t="inlineStr">
        <is>
          <t>YES</t>
        </is>
      </c>
      <c r="I335" s="2" t="inlineStr"/>
      <c r="J335" s="2" t="inlineStr">
        <is>
          <t>금융감독원 금융상품통합비교공시 Open API (finlife.fss.or.kr), 202608</t>
        </is>
      </c>
      <c r="K335" s="2" t="inlineStr">
        <is>
          <t>신한은행:WR0001B:lend_rate_type_nm</t>
        </is>
      </c>
      <c r="L335" s="2" t="inlineStr">
        <is>
          <t>고정금리, 변동금리</t>
        </is>
      </c>
    </row>
    <row r="336">
      <c r="A336" s="2" t="inlineStr">
        <is>
          <t>PRD-0335</t>
        </is>
      </c>
      <c r="B336" s="2" t="inlineStr">
        <is>
          <t>공시형</t>
        </is>
      </c>
      <c r="C336" s="2" t="inlineStr">
        <is>
          <t>대출</t>
        </is>
      </c>
      <c r="D336" s="2" t="inlineStr">
        <is>
          <t>주택담보대출</t>
        </is>
      </c>
      <c r="E336" s="2" t="inlineStr">
        <is>
          <t>loan_rate_type</t>
        </is>
      </c>
      <c r="F336" s="2" t="inlineStr">
        <is>
          <t>고정금리 방식으로 신한은행 '신한주택대출' 대출을 받는 것이 가능한가?</t>
        </is>
      </c>
      <c r="G336" s="2" t="inlineStr">
        <is>
          <t>boolean</t>
        </is>
      </c>
      <c r="H336" s="2" t="inlineStr">
        <is>
          <t>YES</t>
        </is>
      </c>
      <c r="I336" s="2" t="inlineStr"/>
      <c r="J336" s="2" t="inlineStr">
        <is>
          <t>금융감독원 금융상품통합비교공시 Open API (finlife.fss.or.kr), 202608</t>
        </is>
      </c>
      <c r="K336" s="2" t="inlineStr">
        <is>
          <t>신한은행:WR0001C:lend_rate_type_nm</t>
        </is>
      </c>
      <c r="L336" s="2" t="inlineStr">
        <is>
          <t>고정금리, 변동금리</t>
        </is>
      </c>
    </row>
    <row r="337">
      <c r="A337" s="2" t="inlineStr">
        <is>
          <t>PRD-0336</t>
        </is>
      </c>
      <c r="B337" s="2" t="inlineStr">
        <is>
          <t>공시형</t>
        </is>
      </c>
      <c r="C337" s="2" t="inlineStr">
        <is>
          <t>대출</t>
        </is>
      </c>
      <c r="D337" s="2" t="inlineStr">
        <is>
          <t>주택담보대출</t>
        </is>
      </c>
      <c r="E337" s="2" t="inlineStr">
        <is>
          <t>loan_rate_type</t>
        </is>
      </c>
      <c r="F337" s="2" t="inlineStr">
        <is>
          <t>변동금리 방식으로 아이엠뱅크 '장기모기지론-코픽스6개월변동(생활)' 대출을 받는 것이 가능한가?</t>
        </is>
      </c>
      <c r="G337" s="2" t="inlineStr">
        <is>
          <t>boolean</t>
        </is>
      </c>
      <c r="H337" s="2" t="inlineStr">
        <is>
          <t>YES</t>
        </is>
      </c>
      <c r="I337" s="2" t="inlineStr"/>
      <c r="J337" s="2" t="inlineStr">
        <is>
          <t>금융감독원 금융상품통합비교공시 Open API (finlife.fss.or.kr), 202608</t>
        </is>
      </c>
      <c r="K337" s="2" t="inlineStr">
        <is>
          <t>아이엠뱅크:20283701000001001:lend_rate_type_nm</t>
        </is>
      </c>
      <c r="L337" s="2" t="inlineStr">
        <is>
          <t>변동금리</t>
        </is>
      </c>
    </row>
    <row r="338">
      <c r="A338" s="2" t="inlineStr">
        <is>
          <t>PRD-0337</t>
        </is>
      </c>
      <c r="B338" s="2" t="inlineStr">
        <is>
          <t>공시형</t>
        </is>
      </c>
      <c r="C338" s="2" t="inlineStr">
        <is>
          <t>대출</t>
        </is>
      </c>
      <c r="D338" s="2" t="inlineStr">
        <is>
          <t>주택담보대출</t>
        </is>
      </c>
      <c r="E338" s="2" t="inlineStr">
        <is>
          <t>loan_rate_type</t>
        </is>
      </c>
      <c r="F338" s="2" t="inlineStr">
        <is>
          <t>아이엠뱅크 '장기모기지론-코픽스6개월변동(생활)'의 금리 방식 옵션에 고정금리가 있는가?</t>
        </is>
      </c>
      <c r="G338" s="2" t="inlineStr">
        <is>
          <t>boolean</t>
        </is>
      </c>
      <c r="H338" s="2" t="inlineStr">
        <is>
          <t>NO</t>
        </is>
      </c>
      <c r="I338" s="2" t="inlineStr"/>
      <c r="J338" s="2" t="inlineStr">
        <is>
          <t>금융감독원 금융상품통합비교공시 Open API (finlife.fss.or.kr), 202608</t>
        </is>
      </c>
      <c r="K338" s="2" t="inlineStr">
        <is>
          <t>아이엠뱅크:20283701000001001:lend_rate_type_nm</t>
        </is>
      </c>
      <c r="L338" s="2" t="inlineStr">
        <is>
          <t>변동금리</t>
        </is>
      </c>
    </row>
    <row r="339">
      <c r="A339" s="2" t="inlineStr">
        <is>
          <t>PRD-0338</t>
        </is>
      </c>
      <c r="B339" s="2" t="inlineStr">
        <is>
          <t>공시형</t>
        </is>
      </c>
      <c r="C339" s="2" t="inlineStr">
        <is>
          <t>대출</t>
        </is>
      </c>
      <c r="D339" s="2" t="inlineStr">
        <is>
          <t>주택담보대출</t>
        </is>
      </c>
      <c r="E339" s="2" t="inlineStr">
        <is>
          <t>loan_rate_type</t>
        </is>
      </c>
      <c r="F339" s="2" t="inlineStr">
        <is>
          <t>아이엠뱅크 '장기모기지론_금융채5년변동(생활)'의 금리 방식 옵션에 변동금리가 있는가?</t>
        </is>
      </c>
      <c r="G339" s="2" t="inlineStr">
        <is>
          <t>boolean</t>
        </is>
      </c>
      <c r="H339" s="2" t="inlineStr">
        <is>
          <t>YES</t>
        </is>
      </c>
      <c r="I339" s="2" t="inlineStr"/>
      <c r="J339" s="2" t="inlineStr">
        <is>
          <t>금융감독원 금융상품통합비교공시 Open API (finlife.fss.or.kr), 202608</t>
        </is>
      </c>
      <c r="K339" s="2" t="inlineStr">
        <is>
          <t>아이엠뱅크:2028377B000001001:lend_rate_type_nm</t>
        </is>
      </c>
      <c r="L339" s="2" t="inlineStr">
        <is>
          <t>변동금리</t>
        </is>
      </c>
    </row>
    <row r="340">
      <c r="A340" s="2" t="inlineStr">
        <is>
          <t>PRD-0339</t>
        </is>
      </c>
      <c r="B340" s="2" t="inlineStr">
        <is>
          <t>공시형</t>
        </is>
      </c>
      <c r="C340" s="2" t="inlineStr">
        <is>
          <t>대출</t>
        </is>
      </c>
      <c r="D340" s="2" t="inlineStr">
        <is>
          <t>주택담보대출</t>
        </is>
      </c>
      <c r="E340" s="2" t="inlineStr">
        <is>
          <t>loan_rate_type</t>
        </is>
      </c>
      <c r="F340" s="2" t="inlineStr">
        <is>
          <t>고정금리 방식으로 아이엠뱅크 '장기모기지론_금융채5년변동(생활)' 대출을 받는 것이 가능한가?</t>
        </is>
      </c>
      <c r="G340" s="2" t="inlineStr">
        <is>
          <t>boolean</t>
        </is>
      </c>
      <c r="H340" s="2" t="inlineStr">
        <is>
          <t>NO</t>
        </is>
      </c>
      <c r="I340" s="2" t="inlineStr"/>
      <c r="J340" s="2" t="inlineStr">
        <is>
          <t>금융감독원 금융상품통합비교공시 Open API (finlife.fss.or.kr), 202608</t>
        </is>
      </c>
      <c r="K340" s="2" t="inlineStr">
        <is>
          <t>아이엠뱅크:2028377B000001001:lend_rate_type_nm</t>
        </is>
      </c>
      <c r="L340" s="2" t="inlineStr">
        <is>
          <t>변동금리</t>
        </is>
      </c>
    </row>
    <row r="341">
      <c r="A341" s="2" t="inlineStr">
        <is>
          <t>PRD-0340</t>
        </is>
      </c>
      <c r="B341" s="2" t="inlineStr">
        <is>
          <t>공시형</t>
        </is>
      </c>
      <c r="C341" s="2" t="inlineStr">
        <is>
          <t>대출</t>
        </is>
      </c>
      <c r="D341" s="2" t="inlineStr">
        <is>
          <t>주택담보대출</t>
        </is>
      </c>
      <c r="E341" s="2" t="inlineStr">
        <is>
          <t>loan_rate_type</t>
        </is>
      </c>
      <c r="F341" s="2" t="inlineStr">
        <is>
          <t>변동금리 방식으로 아이엠뱅크 'IM주택담보대출_금융채5년변동(생활)' 대출을 받는 것이 가능한가?</t>
        </is>
      </c>
      <c r="G341" s="2" t="inlineStr">
        <is>
          <t>boolean</t>
        </is>
      </c>
      <c r="H341" s="2" t="inlineStr">
        <is>
          <t>YES</t>
        </is>
      </c>
      <c r="I341" s="2" t="inlineStr"/>
      <c r="J341" s="2" t="inlineStr">
        <is>
          <t>금융감독원 금융상품통합비교공시 Open API (finlife.fss.or.kr), 202608</t>
        </is>
      </c>
      <c r="K341" s="2" t="inlineStr">
        <is>
          <t>아이엠뱅크:2028377B001162002:lend_rate_type_nm</t>
        </is>
      </c>
      <c r="L341" s="2" t="inlineStr">
        <is>
          <t>변동금리</t>
        </is>
      </c>
    </row>
    <row r="342">
      <c r="A342" s="2" t="inlineStr">
        <is>
          <t>PRD-0341</t>
        </is>
      </c>
      <c r="B342" s="2" t="inlineStr">
        <is>
          <t>공시형</t>
        </is>
      </c>
      <c r="C342" s="2" t="inlineStr">
        <is>
          <t>대출</t>
        </is>
      </c>
      <c r="D342" s="2" t="inlineStr">
        <is>
          <t>주택담보대출</t>
        </is>
      </c>
      <c r="E342" s="2" t="inlineStr">
        <is>
          <t>loan_rate_type</t>
        </is>
      </c>
      <c r="F342" s="2" t="inlineStr">
        <is>
          <t>아이엠뱅크 'IM주택담보대출_금융채5년변동(생활)'에서 고정금리 방식을 선택할 수 있는가?</t>
        </is>
      </c>
      <c r="G342" s="2" t="inlineStr">
        <is>
          <t>boolean</t>
        </is>
      </c>
      <c r="H342" s="2" t="inlineStr">
        <is>
          <t>NO</t>
        </is>
      </c>
      <c r="I342" s="2" t="inlineStr"/>
      <c r="J342" s="2" t="inlineStr">
        <is>
          <t>금융감독원 금융상품통합비교공시 Open API (finlife.fss.or.kr), 202608</t>
        </is>
      </c>
      <c r="K342" s="2" t="inlineStr">
        <is>
          <t>아이엠뱅크:2028377B001162002:lend_rate_type_nm</t>
        </is>
      </c>
      <c r="L342" s="2" t="inlineStr">
        <is>
          <t>변동금리</t>
        </is>
      </c>
    </row>
    <row r="343">
      <c r="A343" s="2" t="inlineStr">
        <is>
          <t>PRD-0342</t>
        </is>
      </c>
      <c r="B343" s="2" t="inlineStr">
        <is>
          <t>공시형</t>
        </is>
      </c>
      <c r="C343" s="2" t="inlineStr">
        <is>
          <t>대출</t>
        </is>
      </c>
      <c r="D343" s="2" t="inlineStr">
        <is>
          <t>주택담보대출</t>
        </is>
      </c>
      <c r="E343" s="2" t="inlineStr">
        <is>
          <t>loan_rate_type</t>
        </is>
      </c>
      <c r="F343" s="2" t="inlineStr">
        <is>
          <t>변동금리 방식으로 아이엠뱅크 '장기모기지론-코픽스6개월변동(구입)' 대출을 받는 것이 가능한가?</t>
        </is>
      </c>
      <c r="G343" s="2" t="inlineStr">
        <is>
          <t>boolean</t>
        </is>
      </c>
      <c r="H343" s="2" t="inlineStr">
        <is>
          <t>YES</t>
        </is>
      </c>
      <c r="I343" s="2" t="inlineStr"/>
      <c r="J343" s="2" t="inlineStr">
        <is>
          <t>금융감독원 금융상품통합비교공시 Open API (finlife.fss.or.kr), 202608</t>
        </is>
      </c>
      <c r="K343" s="2" t="inlineStr">
        <is>
          <t>아이엠뱅크:20461501000001001:lend_rate_type_nm</t>
        </is>
      </c>
      <c r="L343" s="2" t="inlineStr">
        <is>
          <t>변동금리</t>
        </is>
      </c>
    </row>
    <row r="344">
      <c r="A344" s="2" t="inlineStr">
        <is>
          <t>PRD-0343</t>
        </is>
      </c>
      <c r="B344" s="2" t="inlineStr">
        <is>
          <t>공시형</t>
        </is>
      </c>
      <c r="C344" s="2" t="inlineStr">
        <is>
          <t>대출</t>
        </is>
      </c>
      <c r="D344" s="2" t="inlineStr">
        <is>
          <t>주택담보대출</t>
        </is>
      </c>
      <c r="E344" s="2" t="inlineStr">
        <is>
          <t>loan_rate_type</t>
        </is>
      </c>
      <c r="F344" s="2" t="inlineStr">
        <is>
          <t>고정금리 방식으로 아이엠뱅크 '장기모기지론-코픽스6개월변동(구입)' 대출을 받는 것이 가능한가?</t>
        </is>
      </c>
      <c r="G344" s="2" t="inlineStr">
        <is>
          <t>boolean</t>
        </is>
      </c>
      <c r="H344" s="2" t="inlineStr">
        <is>
          <t>NO</t>
        </is>
      </c>
      <c r="I344" s="2" t="inlineStr"/>
      <c r="J344" s="2" t="inlineStr">
        <is>
          <t>금융감독원 금융상품통합비교공시 Open API (finlife.fss.or.kr), 202608</t>
        </is>
      </c>
      <c r="K344" s="2" t="inlineStr">
        <is>
          <t>아이엠뱅크:20461501000001001:lend_rate_type_nm</t>
        </is>
      </c>
      <c r="L344" s="2" t="inlineStr">
        <is>
          <t>변동금리</t>
        </is>
      </c>
    </row>
    <row r="345">
      <c r="A345" s="2" t="inlineStr">
        <is>
          <t>PRD-0344</t>
        </is>
      </c>
      <c r="B345" s="2" t="inlineStr">
        <is>
          <t>공시형</t>
        </is>
      </c>
      <c r="C345" s="2" t="inlineStr">
        <is>
          <t>대출</t>
        </is>
      </c>
      <c r="D345" s="2" t="inlineStr">
        <is>
          <t>주택담보대출</t>
        </is>
      </c>
      <c r="E345" s="2" t="inlineStr">
        <is>
          <t>loan_rate_type</t>
        </is>
      </c>
      <c r="F345" s="2" t="inlineStr">
        <is>
          <t>아이엠뱅크 '장기모기지론_금융채5년변동(구입)'의 금리 방식 옵션에 변동금리가 있는가?</t>
        </is>
      </c>
      <c r="G345" s="2" t="inlineStr">
        <is>
          <t>boolean</t>
        </is>
      </c>
      <c r="H345" s="2" t="inlineStr">
        <is>
          <t>YES</t>
        </is>
      </c>
      <c r="I345" s="2" t="inlineStr"/>
      <c r="J345" s="2" t="inlineStr">
        <is>
          <t>금융감독원 금융상품통합비교공시 Open API (finlife.fss.or.kr), 202608</t>
        </is>
      </c>
      <c r="K345" s="2" t="inlineStr">
        <is>
          <t>아이엠뱅크:2046157B000001001:lend_rate_type_nm</t>
        </is>
      </c>
      <c r="L345" s="2" t="inlineStr">
        <is>
          <t>변동금리</t>
        </is>
      </c>
    </row>
    <row r="346">
      <c r="A346" s="2" t="inlineStr">
        <is>
          <t>PRD-0345</t>
        </is>
      </c>
      <c r="B346" s="2" t="inlineStr">
        <is>
          <t>공시형</t>
        </is>
      </c>
      <c r="C346" s="2" t="inlineStr">
        <is>
          <t>대출</t>
        </is>
      </c>
      <c r="D346" s="2" t="inlineStr">
        <is>
          <t>주택담보대출</t>
        </is>
      </c>
      <c r="E346" s="2" t="inlineStr">
        <is>
          <t>loan_rate_type</t>
        </is>
      </c>
      <c r="F346" s="2" t="inlineStr">
        <is>
          <t>아이엠뱅크 '장기모기지론_금융채5년변동(구입)'의 금리 방식 옵션에 고정금리가 있는가?</t>
        </is>
      </c>
      <c r="G346" s="2" t="inlineStr">
        <is>
          <t>boolean</t>
        </is>
      </c>
      <c r="H346" s="2" t="inlineStr">
        <is>
          <t>NO</t>
        </is>
      </c>
      <c r="I346" s="2" t="inlineStr"/>
      <c r="J346" s="2" t="inlineStr">
        <is>
          <t>금융감독원 금융상품통합비교공시 Open API (finlife.fss.or.kr), 202608</t>
        </is>
      </c>
      <c r="K346" s="2" t="inlineStr">
        <is>
          <t>아이엠뱅크:2046157B000001001:lend_rate_type_nm</t>
        </is>
      </c>
      <c r="L346" s="2" t="inlineStr">
        <is>
          <t>변동금리</t>
        </is>
      </c>
    </row>
    <row r="347">
      <c r="A347" s="2" t="inlineStr">
        <is>
          <t>PRD-0346</t>
        </is>
      </c>
      <c r="B347" s="2" t="inlineStr">
        <is>
          <t>공시형</t>
        </is>
      </c>
      <c r="C347" s="2" t="inlineStr">
        <is>
          <t>대출</t>
        </is>
      </c>
      <c r="D347" s="2" t="inlineStr">
        <is>
          <t>주택담보대출</t>
        </is>
      </c>
      <c r="E347" s="2" t="inlineStr">
        <is>
          <t>loan_rate_type</t>
        </is>
      </c>
      <c r="F347" s="2" t="inlineStr">
        <is>
          <t>아이엠뱅크 'IM주택담보대출_금융채5년변동(구입)'에서 변동금리 방식을 선택할 수 있는가?</t>
        </is>
      </c>
      <c r="G347" s="2" t="inlineStr">
        <is>
          <t>boolean</t>
        </is>
      </c>
      <c r="H347" s="2" t="inlineStr">
        <is>
          <t>YES</t>
        </is>
      </c>
      <c r="I347" s="2" t="inlineStr"/>
      <c r="J347" s="2" t="inlineStr">
        <is>
          <t>금융감독원 금융상품통합비교공시 Open API (finlife.fss.or.kr), 202608</t>
        </is>
      </c>
      <c r="K347" s="2" t="inlineStr">
        <is>
          <t>아이엠뱅크:2046157B001162002:lend_rate_type_nm</t>
        </is>
      </c>
      <c r="L347" s="2" t="inlineStr">
        <is>
          <t>변동금리</t>
        </is>
      </c>
    </row>
    <row r="348">
      <c r="A348" s="2" t="inlineStr">
        <is>
          <t>PRD-0347</t>
        </is>
      </c>
      <c r="B348" s="2" t="inlineStr">
        <is>
          <t>공시형</t>
        </is>
      </c>
      <c r="C348" s="2" t="inlineStr">
        <is>
          <t>대출</t>
        </is>
      </c>
      <c r="D348" s="2" t="inlineStr">
        <is>
          <t>주택담보대출</t>
        </is>
      </c>
      <c r="E348" s="2" t="inlineStr">
        <is>
          <t>loan_rate_type</t>
        </is>
      </c>
      <c r="F348" s="2" t="inlineStr">
        <is>
          <t>아이엠뱅크 'IM주택담보대출_금융채5년변동(구입)'에서 고정금리 방식을 선택할 수 있는가?</t>
        </is>
      </c>
      <c r="G348" s="2" t="inlineStr">
        <is>
          <t>boolean</t>
        </is>
      </c>
      <c r="H348" s="2" t="inlineStr">
        <is>
          <t>NO</t>
        </is>
      </c>
      <c r="I348" s="2" t="inlineStr"/>
      <c r="J348" s="2" t="inlineStr">
        <is>
          <t>금융감독원 금융상품통합비교공시 Open API (finlife.fss.or.kr), 202608</t>
        </is>
      </c>
      <c r="K348" s="2" t="inlineStr">
        <is>
          <t>아이엠뱅크:2046157B001162002:lend_rate_type_nm</t>
        </is>
      </c>
      <c r="L348" s="2" t="inlineStr">
        <is>
          <t>변동금리</t>
        </is>
      </c>
    </row>
    <row r="349">
      <c r="A349" s="2" t="inlineStr">
        <is>
          <t>PRD-0348</t>
        </is>
      </c>
      <c r="B349" s="2" t="inlineStr">
        <is>
          <t>공시형</t>
        </is>
      </c>
      <c r="C349" s="2" t="inlineStr">
        <is>
          <t>대출</t>
        </is>
      </c>
      <c r="D349" s="2" t="inlineStr">
        <is>
          <t>주택담보대출</t>
        </is>
      </c>
      <c r="E349" s="2" t="inlineStr">
        <is>
          <t>loan_rate_type</t>
        </is>
      </c>
      <c r="F349" s="2" t="inlineStr">
        <is>
          <t>고정금리 방식으로 우리은행 '우리아파트론' 대출을 받는 것이 가능한가?</t>
        </is>
      </c>
      <c r="G349" s="2" t="inlineStr">
        <is>
          <t>boolean</t>
        </is>
      </c>
      <c r="H349" s="2" t="inlineStr">
        <is>
          <t>YES</t>
        </is>
      </c>
      <c r="I349" s="2" t="inlineStr"/>
      <c r="J349" s="2" t="inlineStr">
        <is>
          <t>금융감독원 금융상품통합비교공시 Open API (finlife.fss.or.kr), 202608</t>
        </is>
      </c>
      <c r="K349" s="2" t="inlineStr">
        <is>
          <t>우리은행:1054:lend_rate_type_nm</t>
        </is>
      </c>
      <c r="L349" s="2" t="inlineStr">
        <is>
          <t>고정금리, 변동금리</t>
        </is>
      </c>
    </row>
    <row r="350">
      <c r="A350" s="2" t="inlineStr">
        <is>
          <t>PRD-0349</t>
        </is>
      </c>
      <c r="B350" s="2" t="inlineStr">
        <is>
          <t>공시형</t>
        </is>
      </c>
      <c r="C350" s="2" t="inlineStr">
        <is>
          <t>대출</t>
        </is>
      </c>
      <c r="D350" s="2" t="inlineStr">
        <is>
          <t>주택담보대출</t>
        </is>
      </c>
      <c r="E350" s="2" t="inlineStr">
        <is>
          <t>loan_rate_type</t>
        </is>
      </c>
      <c r="F350" s="2" t="inlineStr">
        <is>
          <t>고정금리 방식으로 우리은행 '우리부동산론' 대출을 받는 것이 가능한가?</t>
        </is>
      </c>
      <c r="G350" s="2" t="inlineStr">
        <is>
          <t>boolean</t>
        </is>
      </c>
      <c r="H350" s="2" t="inlineStr">
        <is>
          <t>YES</t>
        </is>
      </c>
      <c r="I350" s="2" t="inlineStr"/>
      <c r="J350" s="2" t="inlineStr">
        <is>
          <t>금융감독원 금융상품통합비교공시 Open API (finlife.fss.or.kr), 202608</t>
        </is>
      </c>
      <c r="K350" s="2" t="inlineStr">
        <is>
          <t>우리은행:1055:lend_rate_type_nm</t>
        </is>
      </c>
      <c r="L350" s="2" t="inlineStr">
        <is>
          <t>고정금리, 변동금리</t>
        </is>
      </c>
    </row>
    <row r="351">
      <c r="A351" s="2" t="inlineStr">
        <is>
          <t>PRD-0350</t>
        </is>
      </c>
      <c r="B351" s="2" t="inlineStr">
        <is>
          <t>공시형</t>
        </is>
      </c>
      <c r="C351" s="2" t="inlineStr">
        <is>
          <t>대출</t>
        </is>
      </c>
      <c r="D351" s="2" t="inlineStr">
        <is>
          <t>주택담보대출</t>
        </is>
      </c>
      <c r="E351" s="2" t="inlineStr">
        <is>
          <t>loan_rate_type</t>
        </is>
      </c>
      <c r="F351" s="2" t="inlineStr">
        <is>
          <t>전북은행 'JB해피홈론'에서 변동금리 방식을 선택할 수 있는가?</t>
        </is>
      </c>
      <c r="G351" s="2" t="inlineStr">
        <is>
          <t>boolean</t>
        </is>
      </c>
      <c r="H351" s="2" t="inlineStr">
        <is>
          <t>YES</t>
        </is>
      </c>
      <c r="I351" s="2" t="inlineStr"/>
      <c r="J351" s="2" t="inlineStr">
        <is>
          <t>금융감독원 금융상품통합비교공시 Open API (finlife.fss.or.kr), 202608</t>
        </is>
      </c>
      <c r="K351" s="2" t="inlineStr">
        <is>
          <t>전북은행:WR0001A:lend_rate_type_nm</t>
        </is>
      </c>
      <c r="L351" s="2" t="inlineStr">
        <is>
          <t>변동금리</t>
        </is>
      </c>
    </row>
    <row r="352">
      <c r="A352" s="2" t="inlineStr">
        <is>
          <t>PRD-0351</t>
        </is>
      </c>
      <c r="B352" s="2" t="inlineStr">
        <is>
          <t>공시형</t>
        </is>
      </c>
      <c r="C352" s="2" t="inlineStr">
        <is>
          <t>대출</t>
        </is>
      </c>
      <c r="D352" s="2" t="inlineStr">
        <is>
          <t>주택담보대출</t>
        </is>
      </c>
      <c r="E352" s="2" t="inlineStr">
        <is>
          <t>loan_rate_type</t>
        </is>
      </c>
      <c r="F352" s="2" t="inlineStr">
        <is>
          <t>전북은행 'JB해피홈론'의 금리 방식 옵션에 고정금리가 있는가?</t>
        </is>
      </c>
      <c r="G352" s="2" t="inlineStr">
        <is>
          <t>boolean</t>
        </is>
      </c>
      <c r="H352" s="2" t="inlineStr">
        <is>
          <t>NO</t>
        </is>
      </c>
      <c r="I352" s="2" t="inlineStr"/>
      <c r="J352" s="2" t="inlineStr">
        <is>
          <t>금융감독원 금융상품통합비교공시 Open API (finlife.fss.or.kr), 202608</t>
        </is>
      </c>
      <c r="K352" s="2" t="inlineStr">
        <is>
          <t>전북은행:WR0001A:lend_rate_type_nm</t>
        </is>
      </c>
      <c r="L352" s="2" t="inlineStr">
        <is>
          <t>변동금리</t>
        </is>
      </c>
    </row>
    <row r="353">
      <c r="A353" s="2" t="inlineStr">
        <is>
          <t>PRD-0352</t>
        </is>
      </c>
      <c r="B353" s="2" t="inlineStr">
        <is>
          <t>공시형</t>
        </is>
      </c>
      <c r="C353" s="2" t="inlineStr">
        <is>
          <t>대출</t>
        </is>
      </c>
      <c r="D353" s="2" t="inlineStr">
        <is>
          <t>주택담보대출</t>
        </is>
      </c>
      <c r="E353" s="2" t="inlineStr">
        <is>
          <t>loan_rate_type</t>
        </is>
      </c>
      <c r="F353" s="2" t="inlineStr">
        <is>
          <t>고정금리 방식으로 전북은행 'BEST고정금리모기지론' 대출을 받는 것이 가능한가?</t>
        </is>
      </c>
      <c r="G353" s="2" t="inlineStr">
        <is>
          <t>boolean</t>
        </is>
      </c>
      <c r="H353" s="2" t="inlineStr">
        <is>
          <t>YES</t>
        </is>
      </c>
      <c r="I353" s="2" t="inlineStr"/>
      <c r="J353" s="2" t="inlineStr">
        <is>
          <t>금융감독원 금융상품통합비교공시 Open API (finlife.fss.or.kr), 202608</t>
        </is>
      </c>
      <c r="K353" s="2" t="inlineStr">
        <is>
          <t>전북은행:WR0001B:lend_rate_type_nm</t>
        </is>
      </c>
      <c r="L353" s="2" t="inlineStr">
        <is>
          <t>고정금리</t>
        </is>
      </c>
    </row>
    <row r="354">
      <c r="A354" s="2" t="inlineStr">
        <is>
          <t>PRD-0353</t>
        </is>
      </c>
      <c r="B354" s="2" t="inlineStr">
        <is>
          <t>공시형</t>
        </is>
      </c>
      <c r="C354" s="2" t="inlineStr">
        <is>
          <t>대출</t>
        </is>
      </c>
      <c r="D354" s="2" t="inlineStr">
        <is>
          <t>주택담보대출</t>
        </is>
      </c>
      <c r="E354" s="2" t="inlineStr">
        <is>
          <t>loan_rate_type</t>
        </is>
      </c>
      <c r="F354" s="2" t="inlineStr">
        <is>
          <t>변동금리 방식으로 전북은행 'BEST고정금리모기지론' 대출을 받는 것이 가능한가?</t>
        </is>
      </c>
      <c r="G354" s="2" t="inlineStr">
        <is>
          <t>boolean</t>
        </is>
      </c>
      <c r="H354" s="2" t="inlineStr">
        <is>
          <t>NO</t>
        </is>
      </c>
      <c r="I354" s="2" t="inlineStr"/>
      <c r="J354" s="2" t="inlineStr">
        <is>
          <t>금융감독원 금융상품통합비교공시 Open API (finlife.fss.or.kr), 202608</t>
        </is>
      </c>
      <c r="K354" s="2" t="inlineStr">
        <is>
          <t>전북은행:WR0001B:lend_rate_type_nm</t>
        </is>
      </c>
      <c r="L354" s="2" t="inlineStr">
        <is>
          <t>고정금리</t>
        </is>
      </c>
    </row>
    <row r="355">
      <c r="A355" s="2" t="inlineStr">
        <is>
          <t>PRD-0354</t>
        </is>
      </c>
      <c r="B355" s="2" t="inlineStr">
        <is>
          <t>공시형</t>
        </is>
      </c>
      <c r="C355" s="2" t="inlineStr">
        <is>
          <t>대출</t>
        </is>
      </c>
      <c r="D355" s="2" t="inlineStr">
        <is>
          <t>주택담보대출</t>
        </is>
      </c>
      <c r="E355" s="2" t="inlineStr">
        <is>
          <t>loan_rate_type</t>
        </is>
      </c>
      <c r="F355" s="2" t="inlineStr">
        <is>
          <t>전북은행 'JB우리집대출'의 금리 방식 옵션에 변동금리가 있는가?</t>
        </is>
      </c>
      <c r="G355" s="2" t="inlineStr">
        <is>
          <t>boolean</t>
        </is>
      </c>
      <c r="H355" s="2" t="inlineStr">
        <is>
          <t>YES</t>
        </is>
      </c>
      <c r="I355" s="2" t="inlineStr"/>
      <c r="J355" s="2" t="inlineStr">
        <is>
          <t>금융감독원 금융상품통합비교공시 Open API (finlife.fss.or.kr), 202608</t>
        </is>
      </c>
      <c r="K355" s="2" t="inlineStr">
        <is>
          <t>전북은행:WR0001C:lend_rate_type_nm</t>
        </is>
      </c>
      <c r="L355" s="2" t="inlineStr">
        <is>
          <t>변동금리</t>
        </is>
      </c>
    </row>
    <row r="356">
      <c r="A356" s="2" t="inlineStr">
        <is>
          <t>PRD-0355</t>
        </is>
      </c>
      <c r="B356" s="2" t="inlineStr">
        <is>
          <t>공시형</t>
        </is>
      </c>
      <c r="C356" s="2" t="inlineStr">
        <is>
          <t>대출</t>
        </is>
      </c>
      <c r="D356" s="2" t="inlineStr">
        <is>
          <t>주택담보대출</t>
        </is>
      </c>
      <c r="E356" s="2" t="inlineStr">
        <is>
          <t>loan_rate_type</t>
        </is>
      </c>
      <c r="F356" s="2" t="inlineStr">
        <is>
          <t>고정금리 방식으로 전북은행 'JB우리집대출' 대출을 받는 것이 가능한가?</t>
        </is>
      </c>
      <c r="G356" s="2" t="inlineStr">
        <is>
          <t>boolean</t>
        </is>
      </c>
      <c r="H356" s="2" t="inlineStr">
        <is>
          <t>NO</t>
        </is>
      </c>
      <c r="I356" s="2" t="inlineStr"/>
      <c r="J356" s="2" t="inlineStr">
        <is>
          <t>금융감독원 금융상품통합비교공시 Open API (finlife.fss.or.kr), 202608</t>
        </is>
      </c>
      <c r="K356" s="2" t="inlineStr">
        <is>
          <t>전북은행:WR0001C:lend_rate_type_nm</t>
        </is>
      </c>
      <c r="L356" s="2" t="inlineStr">
        <is>
          <t>변동금리</t>
        </is>
      </c>
    </row>
    <row r="357">
      <c r="A357" s="2" t="inlineStr">
        <is>
          <t>PRD-0356</t>
        </is>
      </c>
      <c r="B357" s="2" t="inlineStr">
        <is>
          <t>공시형</t>
        </is>
      </c>
      <c r="C357" s="2" t="inlineStr">
        <is>
          <t>대출</t>
        </is>
      </c>
      <c r="D357" s="2" t="inlineStr">
        <is>
          <t>주택담보대출</t>
        </is>
      </c>
      <c r="E357" s="2" t="inlineStr">
        <is>
          <t>loan_rate_type</t>
        </is>
      </c>
      <c r="F357" s="2" t="inlineStr">
        <is>
          <t>제주은행 '금리safe모기지론'에서 고정금리 방식을 선택할 수 있는가?</t>
        </is>
      </c>
      <c r="G357" s="2" t="inlineStr">
        <is>
          <t>boolean</t>
        </is>
      </c>
      <c r="H357" s="2" t="inlineStr">
        <is>
          <t>YES</t>
        </is>
      </c>
      <c r="I357" s="2" t="inlineStr"/>
      <c r="J357" s="2" t="inlineStr">
        <is>
          <t>금융감독원 금융상품통합비교공시 Open API (finlife.fss.or.kr), 202608</t>
        </is>
      </c>
      <c r="K357" s="2" t="inlineStr">
        <is>
          <t>제주은행:12106723:lend_rate_type_nm</t>
        </is>
      </c>
      <c r="L357" s="2" t="inlineStr">
        <is>
          <t>고정금리</t>
        </is>
      </c>
    </row>
    <row r="358">
      <c r="A358" s="2" t="inlineStr">
        <is>
          <t>PRD-0357</t>
        </is>
      </c>
      <c r="B358" s="2" t="inlineStr">
        <is>
          <t>공시형</t>
        </is>
      </c>
      <c r="C358" s="2" t="inlineStr">
        <is>
          <t>대출</t>
        </is>
      </c>
      <c r="D358" s="2" t="inlineStr">
        <is>
          <t>주택담보대출</t>
        </is>
      </c>
      <c r="E358" s="2" t="inlineStr">
        <is>
          <t>loan_rate_type</t>
        </is>
      </c>
      <c r="F358" s="2" t="inlineStr">
        <is>
          <t>제주은행 '금리safe모기지론'에서 변동금리 방식을 선택할 수 있는가?</t>
        </is>
      </c>
      <c r="G358" s="2" t="inlineStr">
        <is>
          <t>boolean</t>
        </is>
      </c>
      <c r="H358" s="2" t="inlineStr">
        <is>
          <t>NO</t>
        </is>
      </c>
      <c r="I358" s="2" t="inlineStr"/>
      <c r="J358" s="2" t="inlineStr">
        <is>
          <t>금융감독원 금융상품통합비교공시 Open API (finlife.fss.or.kr), 202608</t>
        </is>
      </c>
      <c r="K358" s="2" t="inlineStr">
        <is>
          <t>제주은행:12106723:lend_rate_type_nm</t>
        </is>
      </c>
      <c r="L358" s="2" t="inlineStr">
        <is>
          <t>고정금리</t>
        </is>
      </c>
    </row>
    <row r="359">
      <c r="A359" s="2" t="inlineStr">
        <is>
          <t>PRD-0358</t>
        </is>
      </c>
      <c r="B359" s="2" t="inlineStr">
        <is>
          <t>공시형</t>
        </is>
      </c>
      <c r="C359" s="2" t="inlineStr">
        <is>
          <t>대출</t>
        </is>
      </c>
      <c r="D359" s="2" t="inlineStr">
        <is>
          <t>주택담보대출</t>
        </is>
      </c>
      <c r="E359" s="2" t="inlineStr">
        <is>
          <t>loan_rate_type</t>
        </is>
      </c>
      <c r="F359" s="2" t="inlineStr">
        <is>
          <t>제주은행 '제주홈대출'에서 변동금리 방식을 선택할 수 있는가?</t>
        </is>
      </c>
      <c r="G359" s="2" t="inlineStr">
        <is>
          <t>boolean</t>
        </is>
      </c>
      <c r="H359" s="2" t="inlineStr">
        <is>
          <t>YES</t>
        </is>
      </c>
      <c r="I359" s="2" t="inlineStr"/>
      <c r="J359" s="2" t="inlineStr">
        <is>
          <t>금융감독원 금융상품통합비교공시 Open API (finlife.fss.or.kr), 202608</t>
        </is>
      </c>
      <c r="K359" s="2" t="inlineStr">
        <is>
          <t>제주은행:12107084:lend_rate_type_nm</t>
        </is>
      </c>
      <c r="L359" s="2" t="inlineStr">
        <is>
          <t>변동금리</t>
        </is>
      </c>
    </row>
    <row r="360">
      <c r="A360" s="2" t="inlineStr">
        <is>
          <t>PRD-0359</t>
        </is>
      </c>
      <c r="B360" s="2" t="inlineStr">
        <is>
          <t>공시형</t>
        </is>
      </c>
      <c r="C360" s="2" t="inlineStr">
        <is>
          <t>대출</t>
        </is>
      </c>
      <c r="D360" s="2" t="inlineStr">
        <is>
          <t>주택담보대출</t>
        </is>
      </c>
      <c r="E360" s="2" t="inlineStr">
        <is>
          <t>loan_rate_type</t>
        </is>
      </c>
      <c r="F360" s="2" t="inlineStr">
        <is>
          <t>제주은행 '제주홈대출'에서 고정금리 방식을 선택할 수 있는가?</t>
        </is>
      </c>
      <c r="G360" s="2" t="inlineStr">
        <is>
          <t>boolean</t>
        </is>
      </c>
      <c r="H360" s="2" t="inlineStr">
        <is>
          <t>NO</t>
        </is>
      </c>
      <c r="I360" s="2" t="inlineStr"/>
      <c r="J360" s="2" t="inlineStr">
        <is>
          <t>금융감독원 금융상품통합비교공시 Open API (finlife.fss.or.kr), 202608</t>
        </is>
      </c>
      <c r="K360" s="2" t="inlineStr">
        <is>
          <t>제주은행:12107084:lend_rate_type_nm</t>
        </is>
      </c>
      <c r="L360" s="2" t="inlineStr">
        <is>
          <t>변동금리</t>
        </is>
      </c>
    </row>
    <row r="361">
      <c r="A361" s="2" t="inlineStr">
        <is>
          <t>PRD-0360</t>
        </is>
      </c>
      <c r="B361" s="2" t="inlineStr">
        <is>
          <t>공시형</t>
        </is>
      </c>
      <c r="C361" s="2" t="inlineStr">
        <is>
          <t>대출</t>
        </is>
      </c>
      <c r="D361" s="2" t="inlineStr">
        <is>
          <t>주택담보대출</t>
        </is>
      </c>
      <c r="E361" s="2" t="inlineStr">
        <is>
          <t>loan_rate_type</t>
        </is>
      </c>
      <c r="F361" s="2" t="inlineStr">
        <is>
          <t>변동금리 방식으로 제주은행 '제주장기모기지론' 대출을 받는 것이 가능한가?</t>
        </is>
      </c>
      <c r="G361" s="2" t="inlineStr">
        <is>
          <t>boolean</t>
        </is>
      </c>
      <c r="H361" s="2" t="inlineStr">
        <is>
          <t>YES</t>
        </is>
      </c>
      <c r="I361" s="2" t="inlineStr"/>
      <c r="J361" s="2" t="inlineStr">
        <is>
          <t>금융감독원 금융상품통합비교공시 Open API (finlife.fss.or.kr), 202608</t>
        </is>
      </c>
      <c r="K361" s="2" t="inlineStr">
        <is>
          <t>제주은행:12109121:lend_rate_type_nm</t>
        </is>
      </c>
      <c r="L361" s="2" t="inlineStr">
        <is>
          <t>변동금리</t>
        </is>
      </c>
    </row>
    <row r="362">
      <c r="A362" s="2" t="inlineStr">
        <is>
          <t>PRD-0361</t>
        </is>
      </c>
      <c r="B362" s="2" t="inlineStr">
        <is>
          <t>공시형</t>
        </is>
      </c>
      <c r="C362" s="2" t="inlineStr">
        <is>
          <t>대출</t>
        </is>
      </c>
      <c r="D362" s="2" t="inlineStr">
        <is>
          <t>주택담보대출</t>
        </is>
      </c>
      <c r="E362" s="2" t="inlineStr">
        <is>
          <t>loan_rate_type</t>
        </is>
      </c>
      <c r="F362" s="2" t="inlineStr">
        <is>
          <t>고정금리 방식으로 제주은행 '제주장기모기지론' 대출을 받는 것이 가능한가?</t>
        </is>
      </c>
      <c r="G362" s="2" t="inlineStr">
        <is>
          <t>boolean</t>
        </is>
      </c>
      <c r="H362" s="2" t="inlineStr">
        <is>
          <t>NO</t>
        </is>
      </c>
      <c r="I362" s="2" t="inlineStr"/>
      <c r="J362" s="2" t="inlineStr">
        <is>
          <t>금융감독원 금융상품통합비교공시 Open API (finlife.fss.or.kr), 202608</t>
        </is>
      </c>
      <c r="K362" s="2" t="inlineStr">
        <is>
          <t>제주은행:12109121:lend_rate_type_nm</t>
        </is>
      </c>
      <c r="L362" s="2" t="inlineStr">
        <is>
          <t>변동금리</t>
        </is>
      </c>
    </row>
    <row r="363">
      <c r="A363" s="2" t="inlineStr">
        <is>
          <t>PRD-0362</t>
        </is>
      </c>
      <c r="B363" s="2" t="inlineStr">
        <is>
          <t>공시형</t>
        </is>
      </c>
      <c r="C363" s="2" t="inlineStr">
        <is>
          <t>대출</t>
        </is>
      </c>
      <c r="D363" s="2" t="inlineStr">
        <is>
          <t>주택담보대출</t>
        </is>
      </c>
      <c r="E363" s="2" t="inlineStr">
        <is>
          <t>loan_rate_type</t>
        </is>
      </c>
      <c r="F363" s="2" t="inlineStr">
        <is>
          <t>주식회사 카카오뱅크 '주택담보대출'에서 고정금리 방식을 선택할 수 있는가?</t>
        </is>
      </c>
      <c r="G363" s="2" t="inlineStr">
        <is>
          <t>boolean</t>
        </is>
      </c>
      <c r="H363" s="2" t="inlineStr">
        <is>
          <t>YES</t>
        </is>
      </c>
      <c r="I363" s="2" t="inlineStr"/>
      <c r="J363" s="2" t="inlineStr">
        <is>
          <t>금융감독원 금융상품통합비교공시 Open API (finlife.fss.or.kr), 202608</t>
        </is>
      </c>
      <c r="K363" s="2" t="inlineStr">
        <is>
          <t>주식회사 카카오뱅크:03005:lend_rate_type_nm</t>
        </is>
      </c>
      <c r="L363" s="2" t="inlineStr">
        <is>
          <t>고정금리, 변동금리</t>
        </is>
      </c>
    </row>
    <row r="364">
      <c r="A364" s="2" t="inlineStr">
        <is>
          <t>PRD-0363</t>
        </is>
      </c>
      <c r="B364" s="2" t="inlineStr">
        <is>
          <t>공시형</t>
        </is>
      </c>
      <c r="C364" s="2" t="inlineStr">
        <is>
          <t>대출</t>
        </is>
      </c>
      <c r="D364" s="2" t="inlineStr">
        <is>
          <t>주택담보대출</t>
        </is>
      </c>
      <c r="E364" s="2" t="inlineStr">
        <is>
          <t>loan_rate_type</t>
        </is>
      </c>
      <c r="F364" s="2" t="inlineStr">
        <is>
          <t>주식회사 케이뱅크 '아파트담보대출(일반)'에서 고정금리 방식을 선택할 수 있는가?</t>
        </is>
      </c>
      <c r="G364" s="2" t="inlineStr">
        <is>
          <t>boolean</t>
        </is>
      </c>
      <c r="H364" s="2" t="inlineStr">
        <is>
          <t>YES</t>
        </is>
      </c>
      <c r="I364" s="2" t="inlineStr"/>
      <c r="J364" s="2" t="inlineStr">
        <is>
          <t>금융감독원 금융상품통합비교공시 Open API (finlife.fss.or.kr), 202608</t>
        </is>
      </c>
      <c r="K364" s="2" t="inlineStr">
        <is>
          <t>주식회사 케이뱅크:01021000300000000001:lend_rate_type_nm</t>
        </is>
      </c>
      <c r="L364" s="2" t="inlineStr">
        <is>
          <t>고정금리, 변동금리</t>
        </is>
      </c>
    </row>
    <row r="365">
      <c r="A365" s="2" t="inlineStr">
        <is>
          <t>PRD-0364</t>
        </is>
      </c>
      <c r="B365" s="2" t="inlineStr">
        <is>
          <t>공시형</t>
        </is>
      </c>
      <c r="C365" s="2" t="inlineStr">
        <is>
          <t>대출</t>
        </is>
      </c>
      <c r="D365" s="2" t="inlineStr">
        <is>
          <t>주택담보대출</t>
        </is>
      </c>
      <c r="E365" s="2" t="inlineStr">
        <is>
          <t>loan_rate_type</t>
        </is>
      </c>
      <c r="F365" s="2" t="inlineStr">
        <is>
          <t>주식회사 케이뱅크 '아파트담보대출(구입)'의 금리 방식 옵션에 고정금리가 있는가?</t>
        </is>
      </c>
      <c r="G365" s="2" t="inlineStr">
        <is>
          <t>boolean</t>
        </is>
      </c>
      <c r="H365" s="2" t="inlineStr">
        <is>
          <t>YES</t>
        </is>
      </c>
      <c r="I365" s="2" t="inlineStr"/>
      <c r="J365" s="2" t="inlineStr">
        <is>
          <t>금융감독원 금융상품통합비교공시 Open API (finlife.fss.or.kr), 202608</t>
        </is>
      </c>
      <c r="K365" s="2" t="inlineStr">
        <is>
          <t>주식회사 케이뱅크:01021000300000000013:lend_rate_type_nm</t>
        </is>
      </c>
      <c r="L365" s="2" t="inlineStr">
        <is>
          <t>고정금리, 변동금리</t>
        </is>
      </c>
    </row>
    <row r="366">
      <c r="A366" s="2" t="inlineStr">
        <is>
          <t>PRD-0365</t>
        </is>
      </c>
      <c r="B366" s="2" t="inlineStr">
        <is>
          <t>공시형</t>
        </is>
      </c>
      <c r="C366" s="2" t="inlineStr">
        <is>
          <t>대출</t>
        </is>
      </c>
      <c r="D366" s="2" t="inlineStr">
        <is>
          <t>주택담보대출</t>
        </is>
      </c>
      <c r="E366" s="2" t="inlineStr">
        <is>
          <t>loan_rate_type</t>
        </is>
      </c>
      <c r="F366" s="2" t="inlineStr">
        <is>
          <t>고정금리 방식으로 주식회사 하나은행 '하나원큐아파트론2' 대출을 받는 것이 가능한가?</t>
        </is>
      </c>
      <c r="G366" s="2" t="inlineStr">
        <is>
          <t>boolean</t>
        </is>
      </c>
      <c r="H366" s="2" t="inlineStr">
        <is>
          <t>YES</t>
        </is>
      </c>
      <c r="I366" s="2" t="inlineStr"/>
      <c r="J366" s="2" t="inlineStr">
        <is>
          <t>금융감독원 금융상품통합비교공시 Open API (finlife.fss.or.kr), 202608</t>
        </is>
      </c>
      <c r="K366" s="2" t="inlineStr">
        <is>
          <t>주식회사 하나은행:0300386-1:lend_rate_type_nm</t>
        </is>
      </c>
      <c r="L366" s="2" t="inlineStr">
        <is>
          <t>고정금리, 변동금리</t>
        </is>
      </c>
    </row>
    <row r="367">
      <c r="A367" s="2" t="inlineStr">
        <is>
          <t>PRD-0366</t>
        </is>
      </c>
      <c r="B367" s="2" t="inlineStr">
        <is>
          <t>공시형</t>
        </is>
      </c>
      <c r="C367" s="2" t="inlineStr">
        <is>
          <t>대출</t>
        </is>
      </c>
      <c r="D367" s="2" t="inlineStr">
        <is>
          <t>주택담보대출</t>
        </is>
      </c>
      <c r="E367" s="2" t="inlineStr">
        <is>
          <t>loan_rate_type</t>
        </is>
      </c>
      <c r="F367" s="2" t="inlineStr">
        <is>
          <t>고정금리 방식으로 중소기업은행 'IBK주택담보대출' 대출을 받는 것이 가능한가?</t>
        </is>
      </c>
      <c r="G367" s="2" t="inlineStr">
        <is>
          <t>boolean</t>
        </is>
      </c>
      <c r="H367" s="2" t="inlineStr">
        <is>
          <t>YES</t>
        </is>
      </c>
      <c r="I367" s="2" t="inlineStr"/>
      <c r="J367" s="2" t="inlineStr">
        <is>
          <t>금융감독원 금융상품통합비교공시 Open API (finlife.fss.or.kr), 202608</t>
        </is>
      </c>
      <c r="K367" s="2" t="inlineStr">
        <is>
          <t>중소기업은행:212010144:lend_rate_type_nm</t>
        </is>
      </c>
      <c r="L367" s="2" t="inlineStr">
        <is>
          <t>고정금리, 변동금리</t>
        </is>
      </c>
    </row>
    <row r="368">
      <c r="A368" s="2" t="inlineStr">
        <is>
          <t>PRD-0367</t>
        </is>
      </c>
      <c r="B368" s="2" t="inlineStr">
        <is>
          <t>공시형</t>
        </is>
      </c>
      <c r="C368" s="2" t="inlineStr">
        <is>
          <t>대출</t>
        </is>
      </c>
      <c r="D368" s="2" t="inlineStr">
        <is>
          <t>주택담보대출</t>
        </is>
      </c>
      <c r="E368" s="2" t="inlineStr">
        <is>
          <t>loan_rate_type</t>
        </is>
      </c>
      <c r="F368" s="2" t="inlineStr">
        <is>
          <t>한국산업은행 '산은 주택대출 (생활자금)'에서 고정금리 방식을 선택할 수 있는가?</t>
        </is>
      </c>
      <c r="G368" s="2" t="inlineStr">
        <is>
          <t>boolean</t>
        </is>
      </c>
      <c r="H368" s="2" t="inlineStr">
        <is>
          <t>YES</t>
        </is>
      </c>
      <c r="I368" s="2" t="inlineStr"/>
      <c r="J368" s="2" t="inlineStr">
        <is>
          <t>금융감독원 금융상품통합비교공시 Open API (finlife.fss.or.kr), 202608</t>
        </is>
      </c>
      <c r="K368" s="2" t="inlineStr">
        <is>
          <t>한국산업은행:1:lend_rate_type_nm</t>
        </is>
      </c>
      <c r="L368" s="2" t="inlineStr">
        <is>
          <t>고정금리, 변동금리</t>
        </is>
      </c>
    </row>
    <row r="369">
      <c r="A369" s="2" t="inlineStr">
        <is>
          <t>PRD-0368</t>
        </is>
      </c>
      <c r="B369" s="2" t="inlineStr">
        <is>
          <t>공시형</t>
        </is>
      </c>
      <c r="C369" s="2" t="inlineStr">
        <is>
          <t>대출</t>
        </is>
      </c>
      <c r="D369" s="2" t="inlineStr">
        <is>
          <t>주택담보대출</t>
        </is>
      </c>
      <c r="E369" s="2" t="inlineStr">
        <is>
          <t>loan_rate_type</t>
        </is>
      </c>
      <c r="F369" s="2" t="inlineStr">
        <is>
          <t>한국스탠다드차타드은행 '주택담보대출'에서 변동금리 방식을 선택할 수 있는가?</t>
        </is>
      </c>
      <c r="G369" s="2" t="inlineStr">
        <is>
          <t>boolean</t>
        </is>
      </c>
      <c r="H369" s="2" t="inlineStr">
        <is>
          <t>YES</t>
        </is>
      </c>
      <c r="I369" s="2" t="inlineStr"/>
      <c r="J369" s="2" t="inlineStr">
        <is>
          <t>금융감독원 금융상품통합비교공시 Open API (finlife.fss.or.kr), 202608</t>
        </is>
      </c>
      <c r="K369" s="2" t="inlineStr">
        <is>
          <t>한국스탠다드차타드은행:SC002111SC002015:lend_rate_type_nm</t>
        </is>
      </c>
      <c r="L369" s="2" t="inlineStr">
        <is>
          <t>변동금리</t>
        </is>
      </c>
    </row>
    <row r="370">
      <c r="A370" s="2" t="inlineStr">
        <is>
          <t>PRD-0369</t>
        </is>
      </c>
      <c r="B370" s="2" t="inlineStr">
        <is>
          <t>공시형</t>
        </is>
      </c>
      <c r="C370" s="2" t="inlineStr">
        <is>
          <t>대출</t>
        </is>
      </c>
      <c r="D370" s="2" t="inlineStr">
        <is>
          <t>주택담보대출</t>
        </is>
      </c>
      <c r="E370" s="2" t="inlineStr">
        <is>
          <t>loan_rate_type</t>
        </is>
      </c>
      <c r="F370" s="2" t="inlineStr">
        <is>
          <t>한국스탠다드차타드은행 '주택담보대출'의 금리 방식 옵션에 고정금리가 있는가?</t>
        </is>
      </c>
      <c r="G370" s="2" t="inlineStr">
        <is>
          <t>boolean</t>
        </is>
      </c>
      <c r="H370" s="2" t="inlineStr">
        <is>
          <t>NO</t>
        </is>
      </c>
      <c r="I370" s="2" t="inlineStr"/>
      <c r="J370" s="2" t="inlineStr">
        <is>
          <t>금융감독원 금융상품통합비교공시 Open API (finlife.fss.or.kr), 202608</t>
        </is>
      </c>
      <c r="K370" s="2" t="inlineStr">
        <is>
          <t>한국스탠다드차타드은행:SC002111SC002015:lend_rate_type_nm</t>
        </is>
      </c>
      <c r="L370" s="2" t="inlineStr">
        <is>
          <t>변동금리</t>
        </is>
      </c>
    </row>
    <row r="371">
      <c r="A371" s="2" t="inlineStr">
        <is>
          <t>PRD-0370</t>
        </is>
      </c>
      <c r="B371" s="2" t="inlineStr">
        <is>
          <t>공시형</t>
        </is>
      </c>
      <c r="C371" s="2" t="inlineStr">
        <is>
          <t>대출</t>
        </is>
      </c>
      <c r="D371" s="2" t="inlineStr">
        <is>
          <t>전세자금대출</t>
        </is>
      </c>
      <c r="E371" s="2" t="inlineStr">
        <is>
          <t>loan_rate_type</t>
        </is>
      </c>
      <c r="F371" s="2" t="inlineStr">
        <is>
          <t>변동금리 방식으로 경남은행 '전세자금대출(주택금융공사)' 대출을 받는 것이 가능한가?</t>
        </is>
      </c>
      <c r="G371" s="2" t="inlineStr">
        <is>
          <t>boolean</t>
        </is>
      </c>
      <c r="H371" s="2" t="inlineStr">
        <is>
          <t>YES</t>
        </is>
      </c>
      <c r="I371" s="2" t="inlineStr"/>
      <c r="J371" s="2" t="inlineStr">
        <is>
          <t>금융감독원 금융상품통합비교공시 Open API (finlife.fss.or.kr), 202608</t>
        </is>
      </c>
      <c r="K371" s="2" t="inlineStr">
        <is>
          <t>경남은행:30002152:lend_rate_type_nm</t>
        </is>
      </c>
      <c r="L371" s="2" t="inlineStr">
        <is>
          <t>변동금리</t>
        </is>
      </c>
    </row>
    <row r="372">
      <c r="A372" s="2" t="inlineStr">
        <is>
          <t>PRD-0371</t>
        </is>
      </c>
      <c r="B372" s="2" t="inlineStr">
        <is>
          <t>공시형</t>
        </is>
      </c>
      <c r="C372" s="2" t="inlineStr">
        <is>
          <t>대출</t>
        </is>
      </c>
      <c r="D372" s="2" t="inlineStr">
        <is>
          <t>전세자금대출</t>
        </is>
      </c>
      <c r="E372" s="2" t="inlineStr">
        <is>
          <t>loan_rate_type</t>
        </is>
      </c>
      <c r="F372" s="2" t="inlineStr">
        <is>
          <t>경남은행 '전세자금대출(주택금융공사)'의 금리 방식 옵션에 고정금리가 있는가?</t>
        </is>
      </c>
      <c r="G372" s="2" t="inlineStr">
        <is>
          <t>boolean</t>
        </is>
      </c>
      <c r="H372" s="2" t="inlineStr">
        <is>
          <t>NO</t>
        </is>
      </c>
      <c r="I372" s="2" t="inlineStr"/>
      <c r="J372" s="2" t="inlineStr">
        <is>
          <t>금융감독원 금융상품통합비교공시 Open API (finlife.fss.or.kr), 202608</t>
        </is>
      </c>
      <c r="K372" s="2" t="inlineStr">
        <is>
          <t>경남은행:30002152:lend_rate_type_nm</t>
        </is>
      </c>
      <c r="L372" s="2" t="inlineStr">
        <is>
          <t>변동금리</t>
        </is>
      </c>
    </row>
    <row r="373">
      <c r="A373" s="2" t="inlineStr">
        <is>
          <t>PRD-0372</t>
        </is>
      </c>
      <c r="B373" s="2" t="inlineStr">
        <is>
          <t>공시형</t>
        </is>
      </c>
      <c r="C373" s="2" t="inlineStr">
        <is>
          <t>대출</t>
        </is>
      </c>
      <c r="D373" s="2" t="inlineStr">
        <is>
          <t>전세자금대출</t>
        </is>
      </c>
      <c r="E373" s="2" t="inlineStr">
        <is>
          <t>loan_rate_type</t>
        </is>
      </c>
      <c r="F373" s="2" t="inlineStr">
        <is>
          <t>경남은행 '모바일전세자금대출 (주택금융공사)'의 금리 방식 옵션에 변동금리가 있는가?</t>
        </is>
      </c>
      <c r="G373" s="2" t="inlineStr">
        <is>
          <t>boolean</t>
        </is>
      </c>
      <c r="H373" s="2" t="inlineStr">
        <is>
          <t>YES</t>
        </is>
      </c>
      <c r="I373" s="2" t="inlineStr"/>
      <c r="J373" s="2" t="inlineStr">
        <is>
          <t>금융감독원 금융상품통합비교공시 Open API (finlife.fss.or.kr), 202608</t>
        </is>
      </c>
      <c r="K373" s="2" t="inlineStr">
        <is>
          <t>경남은행:30002257:lend_rate_type_nm</t>
        </is>
      </c>
      <c r="L373" s="2" t="inlineStr">
        <is>
          <t>변동금리</t>
        </is>
      </c>
    </row>
    <row r="374">
      <c r="A374" s="2" t="inlineStr">
        <is>
          <t>PRD-0373</t>
        </is>
      </c>
      <c r="B374" s="2" t="inlineStr">
        <is>
          <t>공시형</t>
        </is>
      </c>
      <c r="C374" s="2" t="inlineStr">
        <is>
          <t>대출</t>
        </is>
      </c>
      <c r="D374" s="2" t="inlineStr">
        <is>
          <t>전세자금대출</t>
        </is>
      </c>
      <c r="E374" s="2" t="inlineStr">
        <is>
          <t>loan_rate_type</t>
        </is>
      </c>
      <c r="F374" s="2" t="inlineStr">
        <is>
          <t>경남은행 '모바일전세자금대출 (주택금융공사)'에서 고정금리 방식을 선택할 수 있는가?</t>
        </is>
      </c>
      <c r="G374" s="2" t="inlineStr">
        <is>
          <t>boolean</t>
        </is>
      </c>
      <c r="H374" s="2" t="inlineStr">
        <is>
          <t>NO</t>
        </is>
      </c>
      <c r="I374" s="2" t="inlineStr"/>
      <c r="J374" s="2" t="inlineStr">
        <is>
          <t>금융감독원 금융상품통합비교공시 Open API (finlife.fss.or.kr), 202608</t>
        </is>
      </c>
      <c r="K374" s="2" t="inlineStr">
        <is>
          <t>경남은행:30002257:lend_rate_type_nm</t>
        </is>
      </c>
      <c r="L374" s="2" t="inlineStr">
        <is>
          <t>변동금리</t>
        </is>
      </c>
    </row>
    <row r="375">
      <c r="A375" s="2" t="inlineStr">
        <is>
          <t>PRD-0374</t>
        </is>
      </c>
      <c r="B375" s="2" t="inlineStr">
        <is>
          <t>공시형</t>
        </is>
      </c>
      <c r="C375" s="2" t="inlineStr">
        <is>
          <t>대출</t>
        </is>
      </c>
      <c r="D375" s="2" t="inlineStr">
        <is>
          <t>전세자금대출</t>
        </is>
      </c>
      <c r="E375" s="2" t="inlineStr">
        <is>
          <t>loan_rate_type</t>
        </is>
      </c>
      <c r="F375" s="2" t="inlineStr">
        <is>
          <t>고정금리 방식으로 경남은행 '고정금리 전세자금대출(주택금융공사)' 대출을 받는 것이 가능한가?</t>
        </is>
      </c>
      <c r="G375" s="2" t="inlineStr">
        <is>
          <t>boolean</t>
        </is>
      </c>
      <c r="H375" s="2" t="inlineStr">
        <is>
          <t>YES</t>
        </is>
      </c>
      <c r="I375" s="2" t="inlineStr"/>
      <c r="J375" s="2" t="inlineStr">
        <is>
          <t>금융감독원 금융상품통합비교공시 Open API (finlife.fss.or.kr), 202608</t>
        </is>
      </c>
      <c r="K375" s="2" t="inlineStr">
        <is>
          <t>경남은행:30002573:lend_rate_type_nm</t>
        </is>
      </c>
      <c r="L375" s="2" t="inlineStr">
        <is>
          <t>고정금리</t>
        </is>
      </c>
    </row>
    <row r="376">
      <c r="A376" s="2" t="inlineStr">
        <is>
          <t>PRD-0375</t>
        </is>
      </c>
      <c r="B376" s="2" t="inlineStr">
        <is>
          <t>공시형</t>
        </is>
      </c>
      <c r="C376" s="2" t="inlineStr">
        <is>
          <t>대출</t>
        </is>
      </c>
      <c r="D376" s="2" t="inlineStr">
        <is>
          <t>전세자금대출</t>
        </is>
      </c>
      <c r="E376" s="2" t="inlineStr">
        <is>
          <t>loan_rate_type</t>
        </is>
      </c>
      <c r="F376" s="2" t="inlineStr">
        <is>
          <t>경남은행 '고정금리 전세자금대출(주택금융공사)'에서 변동금리 방식을 선택할 수 있는가?</t>
        </is>
      </c>
      <c r="G376" s="2" t="inlineStr">
        <is>
          <t>boolean</t>
        </is>
      </c>
      <c r="H376" s="2" t="inlineStr">
        <is>
          <t>NO</t>
        </is>
      </c>
      <c r="I376" s="2" t="inlineStr"/>
      <c r="J376" s="2" t="inlineStr">
        <is>
          <t>금융감독원 금융상품통합비교공시 Open API (finlife.fss.or.kr), 202608</t>
        </is>
      </c>
      <c r="K376" s="2" t="inlineStr">
        <is>
          <t>경남은행:30002573:lend_rate_type_nm</t>
        </is>
      </c>
      <c r="L376" s="2" t="inlineStr">
        <is>
          <t>고정금리</t>
        </is>
      </c>
    </row>
    <row r="377">
      <c r="A377" s="2" t="inlineStr">
        <is>
          <t>PRD-0376</t>
        </is>
      </c>
      <c r="B377" s="2" t="inlineStr">
        <is>
          <t>공시형</t>
        </is>
      </c>
      <c r="C377" s="2" t="inlineStr">
        <is>
          <t>대출</t>
        </is>
      </c>
      <c r="D377" s="2" t="inlineStr">
        <is>
          <t>전세자금대출</t>
        </is>
      </c>
      <c r="E377" s="2" t="inlineStr">
        <is>
          <t>loan_rate_type</t>
        </is>
      </c>
      <c r="F377" s="2" t="inlineStr">
        <is>
          <t>경남은행 '모바일전세자금대출(서울보증보험)'의 금리 방식 옵션에 변동금리가 있는가?</t>
        </is>
      </c>
      <c r="G377" s="2" t="inlineStr">
        <is>
          <t>boolean</t>
        </is>
      </c>
      <c r="H377" s="2" t="inlineStr">
        <is>
          <t>YES</t>
        </is>
      </c>
      <c r="I377" s="2" t="inlineStr"/>
      <c r="J377" s="2" t="inlineStr">
        <is>
          <t>금융감독원 금융상품통합비교공시 Open API (finlife.fss.or.kr), 202608</t>
        </is>
      </c>
      <c r="K377" s="2" t="inlineStr">
        <is>
          <t>경남은행:30002608:lend_rate_type_nm</t>
        </is>
      </c>
      <c r="L377" s="2" t="inlineStr">
        <is>
          <t>변동금리</t>
        </is>
      </c>
    </row>
    <row r="378">
      <c r="A378" s="2" t="inlineStr">
        <is>
          <t>PRD-0377</t>
        </is>
      </c>
      <c r="B378" s="2" t="inlineStr">
        <is>
          <t>공시형</t>
        </is>
      </c>
      <c r="C378" s="2" t="inlineStr">
        <is>
          <t>대출</t>
        </is>
      </c>
      <c r="D378" s="2" t="inlineStr">
        <is>
          <t>신용대출</t>
        </is>
      </c>
      <c r="E378" s="2" t="inlineStr">
        <is>
          <t>credit_avg_rate</t>
        </is>
      </c>
      <c r="F378" s="2" t="inlineStr">
        <is>
          <t>공시상 경남은행 '일반신용대출'의 평균 대출금리는 연 몇 %인가?</t>
        </is>
      </c>
      <c r="G378" s="2" t="inlineStr">
        <is>
          <t>numeric</t>
        </is>
      </c>
      <c r="H378" s="2" t="inlineStr">
        <is>
          <t>6.85</t>
        </is>
      </c>
      <c r="I378" s="2" t="inlineStr">
        <is>
          <t>%</t>
        </is>
      </c>
      <c r="J378" s="2" t="inlineStr">
        <is>
          <t>금융감독원 금융상품통합비교공시 Open API (finlife.fss.or.kr), 202608</t>
        </is>
      </c>
      <c r="K378" s="2" t="inlineStr">
        <is>
          <t>경남은행:CR0001A:crdt_grad_avg</t>
        </is>
      </c>
      <c r="L378" s="2" t="inlineStr">
        <is>
          <t>6.85</t>
        </is>
      </c>
    </row>
    <row r="379">
      <c r="A379" s="2" t="inlineStr">
        <is>
          <t>PRD-0378</t>
        </is>
      </c>
      <c r="B379" s="2" t="inlineStr">
        <is>
          <t>공시형</t>
        </is>
      </c>
      <c r="C379" s="2" t="inlineStr">
        <is>
          <t>대출</t>
        </is>
      </c>
      <c r="D379" s="2" t="inlineStr">
        <is>
          <t>신용대출</t>
        </is>
      </c>
      <c r="E379" s="2" t="inlineStr">
        <is>
          <t>credit_avg_rate</t>
        </is>
      </c>
      <c r="F379" s="2" t="inlineStr">
        <is>
          <t>경남은행 '마이너스한도대출'의 평균 금리는 공시 기준 연 몇 %인가?</t>
        </is>
      </c>
      <c r="G379" s="2" t="inlineStr">
        <is>
          <t>numeric</t>
        </is>
      </c>
      <c r="H379" s="2" t="inlineStr">
        <is>
          <t>5.29</t>
        </is>
      </c>
      <c r="I379" s="2" t="inlineStr">
        <is>
          <t>%</t>
        </is>
      </c>
      <c r="J379" s="2" t="inlineStr">
        <is>
          <t>금융감독원 금융상품통합비교공시 Open API (finlife.fss.or.kr), 202608</t>
        </is>
      </c>
      <c r="K379" s="2" t="inlineStr">
        <is>
          <t>경남은행:CR0001B:crdt_grad_avg</t>
        </is>
      </c>
      <c r="L379" s="2" t="inlineStr">
        <is>
          <t>5.29</t>
        </is>
      </c>
    </row>
    <row r="380">
      <c r="A380" s="2" t="inlineStr">
        <is>
          <t>PRD-0379</t>
        </is>
      </c>
      <c r="B380" s="2" t="inlineStr">
        <is>
          <t>공시형</t>
        </is>
      </c>
      <c r="C380" s="2" t="inlineStr">
        <is>
          <t>대출</t>
        </is>
      </c>
      <c r="D380" s="2" t="inlineStr">
        <is>
          <t>신용대출</t>
        </is>
      </c>
      <c r="E380" s="2" t="inlineStr">
        <is>
          <t>credit_avg_rate</t>
        </is>
      </c>
      <c r="F380" s="2" t="inlineStr">
        <is>
          <t>경남은행 '장기카드대출'의 평균 금리는 공시 기준 연 몇 %인가?</t>
        </is>
      </c>
      <c r="G380" s="2" t="inlineStr">
        <is>
          <t>numeric</t>
        </is>
      </c>
      <c r="H380" s="2" t="inlineStr">
        <is>
          <t>11.54</t>
        </is>
      </c>
      <c r="I380" s="2" t="inlineStr">
        <is>
          <t>%</t>
        </is>
      </c>
      <c r="J380" s="2" t="inlineStr">
        <is>
          <t>금융감독원 금융상품통합비교공시 Open API (finlife.fss.or.kr), 202608</t>
        </is>
      </c>
      <c r="K380" s="2" t="inlineStr">
        <is>
          <t>경남은행:WR0002F:crdt_grad_avg</t>
        </is>
      </c>
      <c r="L380" s="2" t="inlineStr">
        <is>
          <t>11.54</t>
        </is>
      </c>
    </row>
    <row r="381">
      <c r="A381" s="2" t="inlineStr">
        <is>
          <t>PRD-0380</t>
        </is>
      </c>
      <c r="B381" s="2" t="inlineStr">
        <is>
          <t>공시형</t>
        </is>
      </c>
      <c r="C381" s="2" t="inlineStr">
        <is>
          <t>대출</t>
        </is>
      </c>
      <c r="D381" s="2" t="inlineStr">
        <is>
          <t>신용대출</t>
        </is>
      </c>
      <c r="E381" s="2" t="inlineStr">
        <is>
          <t>credit_avg_rate</t>
        </is>
      </c>
      <c r="F381" s="2" t="inlineStr">
        <is>
          <t>공시상 광주은행 '일반신용대출'의 평균 대출금리는 연 몇 %인가?</t>
        </is>
      </c>
      <c r="G381" s="2" t="inlineStr">
        <is>
          <t>numeric</t>
        </is>
      </c>
      <c r="H381" s="2" t="inlineStr">
        <is>
          <t>8.08</t>
        </is>
      </c>
      <c r="I381" s="2" t="inlineStr">
        <is>
          <t>%</t>
        </is>
      </c>
      <c r="J381" s="2" t="inlineStr">
        <is>
          <t>금융감독원 금융상품통합비교공시 Open API (finlife.fss.or.kr), 202608</t>
        </is>
      </c>
      <c r="K381" s="2" t="inlineStr">
        <is>
          <t>광주은행:1:crdt_grad_avg</t>
        </is>
      </c>
      <c r="L381" s="2" t="inlineStr">
        <is>
          <t>8.08</t>
        </is>
      </c>
    </row>
    <row r="382">
      <c r="A382" s="2" t="inlineStr">
        <is>
          <t>PRD-0381</t>
        </is>
      </c>
      <c r="B382" s="2" t="inlineStr">
        <is>
          <t>공시형</t>
        </is>
      </c>
      <c r="C382" s="2" t="inlineStr">
        <is>
          <t>대출</t>
        </is>
      </c>
      <c r="D382" s="2" t="inlineStr">
        <is>
          <t>신용대출</t>
        </is>
      </c>
      <c r="E382" s="2" t="inlineStr">
        <is>
          <t>credit_avg_rate</t>
        </is>
      </c>
      <c r="F382" s="2" t="inlineStr">
        <is>
          <t>공시상 광주은행 '마이너스한도대출'의 평균 대출금리는 연 몇 %인가?</t>
        </is>
      </c>
      <c r="G382" s="2" t="inlineStr">
        <is>
          <t>numeric</t>
        </is>
      </c>
      <c r="H382" s="2" t="inlineStr">
        <is>
          <t>6.31</t>
        </is>
      </c>
      <c r="I382" s="2" t="inlineStr">
        <is>
          <t>%</t>
        </is>
      </c>
      <c r="J382" s="2" t="inlineStr">
        <is>
          <t>금융감독원 금융상품통합비교공시 Open API (finlife.fss.or.kr), 202608</t>
        </is>
      </c>
      <c r="K382" s="2" t="inlineStr">
        <is>
          <t>광주은행:2:crdt_grad_avg</t>
        </is>
      </c>
      <c r="L382" s="2" t="inlineStr">
        <is>
          <t>6.31</t>
        </is>
      </c>
    </row>
    <row r="383">
      <c r="A383" s="2" t="inlineStr">
        <is>
          <t>PRD-0382</t>
        </is>
      </c>
      <c r="B383" s="2" t="inlineStr">
        <is>
          <t>공시형</t>
        </is>
      </c>
      <c r="C383" s="2" t="inlineStr">
        <is>
          <t>대출</t>
        </is>
      </c>
      <c r="D383" s="2" t="inlineStr">
        <is>
          <t>신용대출</t>
        </is>
      </c>
      <c r="E383" s="2" t="inlineStr">
        <is>
          <t>credit_avg_rate</t>
        </is>
      </c>
      <c r="F383" s="2" t="inlineStr">
        <is>
          <t>광주은행 '장기카드대출'의 평균 금리는 공시 기준 연 몇 %인가?</t>
        </is>
      </c>
      <c r="G383" s="2" t="inlineStr">
        <is>
          <t>numeric</t>
        </is>
      </c>
      <c r="H383" s="2" t="inlineStr">
        <is>
          <t>12.74</t>
        </is>
      </c>
      <c r="I383" s="2" t="inlineStr">
        <is>
          <t>%</t>
        </is>
      </c>
      <c r="J383" s="2" t="inlineStr">
        <is>
          <t>금융감독원 금융상품통합비교공시 Open API (finlife.fss.or.kr), 202608</t>
        </is>
      </c>
      <c r="K383" s="2" t="inlineStr">
        <is>
          <t>광주은행:WR0002F:crdt_grad_avg</t>
        </is>
      </c>
      <c r="L383" s="2" t="inlineStr">
        <is>
          <t>12.74</t>
        </is>
      </c>
    </row>
    <row r="384">
      <c r="A384" s="2" t="inlineStr">
        <is>
          <t>PRD-0383</t>
        </is>
      </c>
      <c r="B384" s="2" t="inlineStr">
        <is>
          <t>공시형</t>
        </is>
      </c>
      <c r="C384" s="2" t="inlineStr">
        <is>
          <t>대출</t>
        </is>
      </c>
      <c r="D384" s="2" t="inlineStr">
        <is>
          <t>신용대출</t>
        </is>
      </c>
      <c r="E384" s="2" t="inlineStr">
        <is>
          <t>credit_avg_rate</t>
        </is>
      </c>
      <c r="F384" s="2" t="inlineStr">
        <is>
          <t>국민은행 '일반신용대출'의 공시된 평균 대출금리는 연 몇 %인가?</t>
        </is>
      </c>
      <c r="G384" s="2" t="inlineStr">
        <is>
          <t>numeric</t>
        </is>
      </c>
      <c r="H384" s="2" t="inlineStr">
        <is>
          <t>4.66</t>
        </is>
      </c>
      <c r="I384" s="2" t="inlineStr">
        <is>
          <t>%</t>
        </is>
      </c>
      <c r="J384" s="2" t="inlineStr">
        <is>
          <t>금융감독원 금융상품통합비교공시 Open API (finlife.fss.or.kr), 202608</t>
        </is>
      </c>
      <c r="K384" s="2" t="inlineStr">
        <is>
          <t>국민은행:KB200200000001:crdt_grad_avg</t>
        </is>
      </c>
      <c r="L384" s="2" t="inlineStr">
        <is>
          <t>4.66</t>
        </is>
      </c>
    </row>
    <row r="385">
      <c r="A385" s="2" t="inlineStr">
        <is>
          <t>PRD-0384</t>
        </is>
      </c>
      <c r="B385" s="2" t="inlineStr">
        <is>
          <t>공시형</t>
        </is>
      </c>
      <c r="C385" s="2" t="inlineStr">
        <is>
          <t>대출</t>
        </is>
      </c>
      <c r="D385" s="2" t="inlineStr">
        <is>
          <t>신용대출</t>
        </is>
      </c>
      <c r="E385" s="2" t="inlineStr">
        <is>
          <t>credit_avg_rate</t>
        </is>
      </c>
      <c r="F385" s="2" t="inlineStr">
        <is>
          <t>국민은행 '마이너스한도대출'의 공시된 평균 대출금리는 연 몇 %인가?</t>
        </is>
      </c>
      <c r="G385" s="2" t="inlineStr">
        <is>
          <t>numeric</t>
        </is>
      </c>
      <c r="H385" s="2" t="inlineStr">
        <is>
          <t>4.59</t>
        </is>
      </c>
      <c r="I385" s="2" t="inlineStr">
        <is>
          <t>%</t>
        </is>
      </c>
      <c r="J385" s="2" t="inlineStr">
        <is>
          <t>금융감독원 금융상품통합비교공시 Open API (finlife.fss.or.kr), 202608</t>
        </is>
      </c>
      <c r="K385" s="2" t="inlineStr">
        <is>
          <t>국민은행:KB200200000002:crdt_grad_avg</t>
        </is>
      </c>
      <c r="L385" s="2" t="inlineStr">
        <is>
          <t>4.59</t>
        </is>
      </c>
    </row>
    <row r="386">
      <c r="A386" s="2" t="inlineStr">
        <is>
          <t>PRD-0385</t>
        </is>
      </c>
      <c r="B386" s="2" t="inlineStr">
        <is>
          <t>공시형</t>
        </is>
      </c>
      <c r="C386" s="2" t="inlineStr">
        <is>
          <t>대출</t>
        </is>
      </c>
      <c r="D386" s="2" t="inlineStr">
        <is>
          <t>신용대출</t>
        </is>
      </c>
      <c r="E386" s="2" t="inlineStr">
        <is>
          <t>credit_avg_rate</t>
        </is>
      </c>
      <c r="F386" s="2" t="inlineStr">
        <is>
          <t>공시상 농협은행주식회사 '가계신용대출(일반)'의 평균 대출금리는 연 몇 %인가?</t>
        </is>
      </c>
      <c r="G386" s="2" t="inlineStr">
        <is>
          <t>numeric</t>
        </is>
      </c>
      <c r="H386" s="2" t="inlineStr">
        <is>
          <t>5.56</t>
        </is>
      </c>
      <c r="I386" s="2" t="inlineStr">
        <is>
          <t>%</t>
        </is>
      </c>
      <c r="J386" s="2" t="inlineStr">
        <is>
          <t>금융감독원 금융상품통합비교공시 Open API (finlife.fss.or.kr), 202608</t>
        </is>
      </c>
      <c r="K386" s="2" t="inlineStr">
        <is>
          <t>농협은행주식회사:CR0001A:crdt_grad_avg</t>
        </is>
      </c>
      <c r="L386" s="2" t="inlineStr">
        <is>
          <t>5.56</t>
        </is>
      </c>
    </row>
    <row r="387">
      <c r="A387" s="2" t="inlineStr">
        <is>
          <t>PRD-0386</t>
        </is>
      </c>
      <c r="B387" s="2" t="inlineStr">
        <is>
          <t>공시형</t>
        </is>
      </c>
      <c r="C387" s="2" t="inlineStr">
        <is>
          <t>대출</t>
        </is>
      </c>
      <c r="D387" s="2" t="inlineStr">
        <is>
          <t>신용대출</t>
        </is>
      </c>
      <c r="E387" s="2" t="inlineStr">
        <is>
          <t>credit_avg_rate</t>
        </is>
      </c>
      <c r="F387" s="2" t="inlineStr">
        <is>
          <t>농협은행주식회사 '가계신용대출(마이너스대출)'의 평균 금리는 공시 기준 연 몇 %인가?</t>
        </is>
      </c>
      <c r="G387" s="2" t="inlineStr">
        <is>
          <t>numeric</t>
        </is>
      </c>
      <c r="H387" s="2" t="inlineStr">
        <is>
          <t>5.23</t>
        </is>
      </c>
      <c r="I387" s="2" t="inlineStr">
        <is>
          <t>%</t>
        </is>
      </c>
      <c r="J387" s="2" t="inlineStr">
        <is>
          <t>금융감독원 금융상품통합비교공시 Open API (finlife.fss.or.kr), 202608</t>
        </is>
      </c>
      <c r="K387" s="2" t="inlineStr">
        <is>
          <t>농협은행주식회사:CR0001B:crdt_grad_avg</t>
        </is>
      </c>
      <c r="L387" s="2" t="inlineStr">
        <is>
          <t>5.23</t>
        </is>
      </c>
    </row>
    <row r="388">
      <c r="A388" s="2" t="inlineStr">
        <is>
          <t>PRD-0387</t>
        </is>
      </c>
      <c r="B388" s="2" t="inlineStr">
        <is>
          <t>공시형</t>
        </is>
      </c>
      <c r="C388" s="2" t="inlineStr">
        <is>
          <t>대출</t>
        </is>
      </c>
      <c r="D388" s="2" t="inlineStr">
        <is>
          <t>신용대출</t>
        </is>
      </c>
      <c r="E388" s="2" t="inlineStr">
        <is>
          <t>credit_avg_rate</t>
        </is>
      </c>
      <c r="F388" s="2" t="inlineStr">
        <is>
          <t>농협은행주식회사 '장기카드대출'의 평균 금리는 공시 기준 연 몇 %인가?</t>
        </is>
      </c>
      <c r="G388" s="2" t="inlineStr">
        <is>
          <t>numeric</t>
        </is>
      </c>
      <c r="H388" s="2" t="inlineStr">
        <is>
          <t>15.08</t>
        </is>
      </c>
      <c r="I388" s="2" t="inlineStr">
        <is>
          <t>%</t>
        </is>
      </c>
      <c r="J388" s="2" t="inlineStr">
        <is>
          <t>금융감독원 금융상품통합비교공시 Open API (finlife.fss.or.kr), 202608</t>
        </is>
      </c>
      <c r="K388" s="2" t="inlineStr">
        <is>
          <t>농협은행주식회사:WR0002F:crdt_grad_avg</t>
        </is>
      </c>
      <c r="L388" s="2" t="inlineStr">
        <is>
          <t>15.08</t>
        </is>
      </c>
    </row>
    <row r="389">
      <c r="A389" s="2" t="inlineStr">
        <is>
          <t>PRD-0388</t>
        </is>
      </c>
      <c r="B389" s="2" t="inlineStr">
        <is>
          <t>공시형</t>
        </is>
      </c>
      <c r="C389" s="2" t="inlineStr">
        <is>
          <t>대출</t>
        </is>
      </c>
      <c r="D389" s="2" t="inlineStr">
        <is>
          <t>신용대출</t>
        </is>
      </c>
      <c r="E389" s="2" t="inlineStr">
        <is>
          <t>credit_avg_rate</t>
        </is>
      </c>
      <c r="F389" s="2" t="inlineStr">
        <is>
          <t>공시상 부산은행 'ONE신용대출(일반신용대출)'의 평균 대출금리는 연 몇 %인가?</t>
        </is>
      </c>
      <c r="G389" s="2" t="inlineStr">
        <is>
          <t>numeric</t>
        </is>
      </c>
      <c r="H389" s="2" t="inlineStr">
        <is>
          <t>5.23</t>
        </is>
      </c>
      <c r="I389" s="2" t="inlineStr">
        <is>
          <t>%</t>
        </is>
      </c>
      <c r="J389" s="2" t="inlineStr">
        <is>
          <t>금융감독원 금융상품통합비교공시 Open API (finlife.fss.or.kr), 202608</t>
        </is>
      </c>
      <c r="K389" s="2" t="inlineStr">
        <is>
          <t>부산은행:1300:crdt_grad_avg</t>
        </is>
      </c>
      <c r="L389" s="2" t="inlineStr">
        <is>
          <t>5.23</t>
        </is>
      </c>
    </row>
    <row r="390">
      <c r="A390" s="2" t="inlineStr">
        <is>
          <t>PRD-0389</t>
        </is>
      </c>
      <c r="B390" s="2" t="inlineStr">
        <is>
          <t>공시형</t>
        </is>
      </c>
      <c r="C390" s="2" t="inlineStr">
        <is>
          <t>대출</t>
        </is>
      </c>
      <c r="D390" s="2" t="inlineStr">
        <is>
          <t>신용대출</t>
        </is>
      </c>
      <c r="E390" s="2" t="inlineStr">
        <is>
          <t>credit_avg_rate</t>
        </is>
      </c>
      <c r="F390" s="2" t="inlineStr">
        <is>
          <t>부산은행 'ONE신용대출(마이너스한도대출)'의 공시된 평균 대출금리는 연 몇 %인가?</t>
        </is>
      </c>
      <c r="G390" s="2" t="inlineStr">
        <is>
          <t>numeric</t>
        </is>
      </c>
      <c r="H390" s="2" t="inlineStr">
        <is>
          <t>5.54</t>
        </is>
      </c>
      <c r="I390" s="2" t="inlineStr">
        <is>
          <t>%</t>
        </is>
      </c>
      <c r="J390" s="2" t="inlineStr">
        <is>
          <t>금융감독원 금융상품통합비교공시 Open API (finlife.fss.or.kr), 202608</t>
        </is>
      </c>
      <c r="K390" s="2" t="inlineStr">
        <is>
          <t>부산은행:1301:crdt_grad_avg</t>
        </is>
      </c>
      <c r="L390" s="2" t="inlineStr">
        <is>
          <t>5.54</t>
        </is>
      </c>
    </row>
    <row r="391">
      <c r="A391" s="2" t="inlineStr">
        <is>
          <t>PRD-0390</t>
        </is>
      </c>
      <c r="B391" s="2" t="inlineStr">
        <is>
          <t>공시형</t>
        </is>
      </c>
      <c r="C391" s="2" t="inlineStr">
        <is>
          <t>대출</t>
        </is>
      </c>
      <c r="D391" s="2" t="inlineStr">
        <is>
          <t>신용대출</t>
        </is>
      </c>
      <c r="E391" s="2" t="inlineStr">
        <is>
          <t>credit_avg_rate</t>
        </is>
      </c>
      <c r="F391" s="2" t="inlineStr">
        <is>
          <t>부산은행 '장기카드대출'의 평균 금리는 공시 기준 연 몇 %인가?</t>
        </is>
      </c>
      <c r="G391" s="2" t="inlineStr">
        <is>
          <t>numeric</t>
        </is>
      </c>
      <c r="H391" s="2" t="inlineStr">
        <is>
          <t>12.37</t>
        </is>
      </c>
      <c r="I391" s="2" t="inlineStr">
        <is>
          <t>%</t>
        </is>
      </c>
      <c r="J391" s="2" t="inlineStr">
        <is>
          <t>금융감독원 금융상품통합비교공시 Open API (finlife.fss.or.kr), 202608</t>
        </is>
      </c>
      <c r="K391" s="2" t="inlineStr">
        <is>
          <t>부산은행:WR0002F:crdt_grad_avg</t>
        </is>
      </c>
      <c r="L391" s="2" t="inlineStr">
        <is>
          <t>12.37</t>
        </is>
      </c>
    </row>
    <row r="392">
      <c r="A392" s="2" t="inlineStr">
        <is>
          <t>PRD-0391</t>
        </is>
      </c>
      <c r="B392" s="2" t="inlineStr">
        <is>
          <t>공시형</t>
        </is>
      </c>
      <c r="C392" s="2" t="inlineStr">
        <is>
          <t>대출</t>
        </is>
      </c>
      <c r="D392" s="2" t="inlineStr">
        <is>
          <t>신용대출</t>
        </is>
      </c>
      <c r="E392" s="2" t="inlineStr">
        <is>
          <t>credit_avg_rate</t>
        </is>
      </c>
      <c r="F392" s="2" t="inlineStr">
        <is>
          <t>수협은행 '개인신용대출'의 평균 금리는 공시 기준 연 몇 %인가?</t>
        </is>
      </c>
      <c r="G392" s="2" t="inlineStr">
        <is>
          <t>numeric</t>
        </is>
      </c>
      <c r="H392" s="2" t="inlineStr">
        <is>
          <t>4.59</t>
        </is>
      </c>
      <c r="I392" s="2" t="inlineStr">
        <is>
          <t>%</t>
        </is>
      </c>
      <c r="J392" s="2" t="inlineStr">
        <is>
          <t>금융감독원 금융상품통합비교공시 Open API (finlife.fss.or.kr), 202608</t>
        </is>
      </c>
      <c r="K392" s="2" t="inlineStr">
        <is>
          <t>수협은행:601:crdt_grad_avg</t>
        </is>
      </c>
      <c r="L392" s="2" t="inlineStr">
        <is>
          <t>4.59</t>
        </is>
      </c>
    </row>
    <row r="393">
      <c r="A393" s="2" t="inlineStr">
        <is>
          <t>PRD-0392</t>
        </is>
      </c>
      <c r="B393" s="2" t="inlineStr">
        <is>
          <t>공시형</t>
        </is>
      </c>
      <c r="C393" s="2" t="inlineStr">
        <is>
          <t>대출</t>
        </is>
      </c>
      <c r="D393" s="2" t="inlineStr">
        <is>
          <t>신용대출</t>
        </is>
      </c>
      <c r="E393" s="2" t="inlineStr">
        <is>
          <t>credit_avg_rate</t>
        </is>
      </c>
      <c r="F393" s="2" t="inlineStr">
        <is>
          <t>공시상 수협은행 '개인신용마이너스한도대출'의 평균 대출금리는 연 몇 %인가?</t>
        </is>
      </c>
      <c r="G393" s="2" t="inlineStr">
        <is>
          <t>numeric</t>
        </is>
      </c>
      <c r="H393" s="2" t="inlineStr">
        <is>
          <t>5.38</t>
        </is>
      </c>
      <c r="I393" s="2" t="inlineStr">
        <is>
          <t>%</t>
        </is>
      </c>
      <c r="J393" s="2" t="inlineStr">
        <is>
          <t>금융감독원 금융상품통합비교공시 Open API (finlife.fss.or.kr), 202608</t>
        </is>
      </c>
      <c r="K393" s="2" t="inlineStr">
        <is>
          <t>수협은행:804:crdt_grad_avg</t>
        </is>
      </c>
      <c r="L393" s="2" t="inlineStr">
        <is>
          <t>5.38</t>
        </is>
      </c>
    </row>
    <row r="394">
      <c r="A394" s="2" t="inlineStr">
        <is>
          <t>PRD-0393</t>
        </is>
      </c>
      <c r="B394" s="2" t="inlineStr">
        <is>
          <t>공시형</t>
        </is>
      </c>
      <c r="C394" s="2" t="inlineStr">
        <is>
          <t>대출</t>
        </is>
      </c>
      <c r="D394" s="2" t="inlineStr">
        <is>
          <t>신용대출</t>
        </is>
      </c>
      <c r="E394" s="2" t="inlineStr">
        <is>
          <t>credit_avg_rate</t>
        </is>
      </c>
      <c r="F394" s="2" t="inlineStr">
        <is>
          <t>공시상 신한은행 '개인신용대출(일반신용대출)'의 평균 대출금리는 연 몇 %인가?</t>
        </is>
      </c>
      <c r="G394" s="2" t="inlineStr">
        <is>
          <t>numeric</t>
        </is>
      </c>
      <c r="H394" s="2" t="inlineStr">
        <is>
          <t>5.7</t>
        </is>
      </c>
      <c r="I394" s="2" t="inlineStr">
        <is>
          <t>%</t>
        </is>
      </c>
      <c r="J394" s="2" t="inlineStr">
        <is>
          <t>금융감독원 금융상품통합비교공시 Open API (finlife.fss.or.kr), 202608</t>
        </is>
      </c>
      <c r="K394" s="2" t="inlineStr">
        <is>
          <t>신한은행:CR0001A:crdt_grad_avg</t>
        </is>
      </c>
      <c r="L394" s="2" t="inlineStr">
        <is>
          <t>5.7</t>
        </is>
      </c>
    </row>
    <row r="395">
      <c r="A395" s="2" t="inlineStr">
        <is>
          <t>PRD-0394</t>
        </is>
      </c>
      <c r="B395" s="2" t="inlineStr">
        <is>
          <t>공시형</t>
        </is>
      </c>
      <c r="C395" s="2" t="inlineStr">
        <is>
          <t>대출</t>
        </is>
      </c>
      <c r="D395" s="2" t="inlineStr">
        <is>
          <t>신용대출</t>
        </is>
      </c>
      <c r="E395" s="2" t="inlineStr">
        <is>
          <t>credit_avg_rate</t>
        </is>
      </c>
      <c r="F395" s="2" t="inlineStr">
        <is>
          <t>신한은행 '개인신용대출(마이너스한도대출)'의 평균 금리는 공시 기준 연 몇 %인가?</t>
        </is>
      </c>
      <c r="G395" s="2" t="inlineStr">
        <is>
          <t>numeric</t>
        </is>
      </c>
      <c r="H395" s="2" t="inlineStr">
        <is>
          <t>5.35</t>
        </is>
      </c>
      <c r="I395" s="2" t="inlineStr">
        <is>
          <t>%</t>
        </is>
      </c>
      <c r="J395" s="2" t="inlineStr">
        <is>
          <t>금융감독원 금융상품통합비교공시 Open API (finlife.fss.or.kr), 202608</t>
        </is>
      </c>
      <c r="K395" s="2" t="inlineStr">
        <is>
          <t>신한은행:CR0001C:crdt_grad_avg</t>
        </is>
      </c>
      <c r="L395" s="2" t="inlineStr">
        <is>
          <t>5.35</t>
        </is>
      </c>
    </row>
    <row r="396">
      <c r="A396" s="2" t="inlineStr">
        <is>
          <t>PRD-0395</t>
        </is>
      </c>
      <c r="B396" s="2" t="inlineStr">
        <is>
          <t>공시형</t>
        </is>
      </c>
      <c r="C396" s="2" t="inlineStr">
        <is>
          <t>대출</t>
        </is>
      </c>
      <c r="D396" s="2" t="inlineStr">
        <is>
          <t>신용대출</t>
        </is>
      </c>
      <c r="E396" s="2" t="inlineStr">
        <is>
          <t>credit_avg_rate</t>
        </is>
      </c>
      <c r="F396" s="2" t="inlineStr">
        <is>
          <t>공시상 아이엠뱅크 '일반신용대출'의 평균 대출금리는 연 몇 %인가?</t>
        </is>
      </c>
      <c r="G396" s="2" t="inlineStr">
        <is>
          <t>numeric</t>
        </is>
      </c>
      <c r="H396" s="2" t="inlineStr">
        <is>
          <t>6.72</t>
        </is>
      </c>
      <c r="I396" s="2" t="inlineStr">
        <is>
          <t>%</t>
        </is>
      </c>
      <c r="J396" s="2" t="inlineStr">
        <is>
          <t>금융감독원 금융상품통합비교공시 Open API (finlife.fss.or.kr), 202608</t>
        </is>
      </c>
      <c r="K396" s="2" t="inlineStr">
        <is>
          <t>아이엠뱅크:WR0001F:crdt_grad_avg</t>
        </is>
      </c>
      <c r="L396" s="2" t="inlineStr">
        <is>
          <t>6.72</t>
        </is>
      </c>
    </row>
    <row r="397">
      <c r="A397" s="2" t="inlineStr">
        <is>
          <t>PRD-0396</t>
        </is>
      </c>
      <c r="B397" s="2" t="inlineStr">
        <is>
          <t>공시형</t>
        </is>
      </c>
      <c r="C397" s="2" t="inlineStr">
        <is>
          <t>대출</t>
        </is>
      </c>
      <c r="D397" s="2" t="inlineStr">
        <is>
          <t>신용대출</t>
        </is>
      </c>
      <c r="E397" s="2" t="inlineStr">
        <is>
          <t>credit_avg_rate</t>
        </is>
      </c>
      <c r="F397" s="2" t="inlineStr">
        <is>
          <t>아이엠뱅크 '마이너스한도대출'의 평균 금리는 공시 기준 연 몇 %인가?</t>
        </is>
      </c>
      <c r="G397" s="2" t="inlineStr">
        <is>
          <t>numeric</t>
        </is>
      </c>
      <c r="H397" s="2" t="inlineStr">
        <is>
          <t>6.04</t>
        </is>
      </c>
      <c r="I397" s="2" t="inlineStr">
        <is>
          <t>%</t>
        </is>
      </c>
      <c r="J397" s="2" t="inlineStr">
        <is>
          <t>금융감독원 금융상품통합비교공시 Open API (finlife.fss.or.kr), 202608</t>
        </is>
      </c>
      <c r="K397" s="2" t="inlineStr">
        <is>
          <t>아이엠뱅크:WR0002F:crdt_grad_avg</t>
        </is>
      </c>
      <c r="L397" s="2" t="inlineStr">
        <is>
          <t>6.04</t>
        </is>
      </c>
    </row>
    <row r="398">
      <c r="A398" s="2" t="inlineStr">
        <is>
          <t>PRD-0397</t>
        </is>
      </c>
      <c r="B398" s="2" t="inlineStr">
        <is>
          <t>공시형</t>
        </is>
      </c>
      <c r="C398" s="2" t="inlineStr">
        <is>
          <t>대출</t>
        </is>
      </c>
      <c r="D398" s="2" t="inlineStr">
        <is>
          <t>신용대출</t>
        </is>
      </c>
      <c r="E398" s="2" t="inlineStr">
        <is>
          <t>credit_avg_rate</t>
        </is>
      </c>
      <c r="F398" s="2" t="inlineStr">
        <is>
          <t>아이엠뱅크 '장기카드대출'의 평균 금리는 공시 기준 연 몇 %인가?</t>
        </is>
      </c>
      <c r="G398" s="2" t="inlineStr">
        <is>
          <t>numeric</t>
        </is>
      </c>
      <c r="H398" s="2" t="inlineStr">
        <is>
          <t>6.04</t>
        </is>
      </c>
      <c r="I398" s="2" t="inlineStr">
        <is>
          <t>%</t>
        </is>
      </c>
      <c r="J398" s="2" t="inlineStr">
        <is>
          <t>금융감독원 금융상품통합비교공시 Open API (finlife.fss.or.kr), 202608</t>
        </is>
      </c>
      <c r="K398" s="2" t="inlineStr">
        <is>
          <t>아이엠뱅크:WR0002F:crdt_grad_avg</t>
        </is>
      </c>
      <c r="L398" s="2" t="inlineStr">
        <is>
          <t>6.04</t>
        </is>
      </c>
    </row>
    <row r="399">
      <c r="A399" s="2" t="inlineStr">
        <is>
          <t>PRD-0398</t>
        </is>
      </c>
      <c r="B399" s="2" t="inlineStr">
        <is>
          <t>공시형</t>
        </is>
      </c>
      <c r="C399" s="2" t="inlineStr">
        <is>
          <t>대출</t>
        </is>
      </c>
      <c r="D399" s="2" t="inlineStr">
        <is>
          <t>신용대출</t>
        </is>
      </c>
      <c r="E399" s="2" t="inlineStr">
        <is>
          <t>credit_avg_rate</t>
        </is>
      </c>
      <c r="F399" s="2" t="inlineStr">
        <is>
          <t>공시상 우리은행 '협약금리 外 신용대출상품(일반신용대출)'의 평균 대출금리는 연 몇 %인가?</t>
        </is>
      </c>
      <c r="G399" s="2" t="inlineStr">
        <is>
          <t>numeric</t>
        </is>
      </c>
      <c r="H399" s="2" t="inlineStr">
        <is>
          <t>5.51</t>
        </is>
      </c>
      <c r="I399" s="2" t="inlineStr">
        <is>
          <t>%</t>
        </is>
      </c>
      <c r="J399" s="2" t="inlineStr">
        <is>
          <t>금융감독원 금융상품통합비교공시 Open API (finlife.fss.or.kr), 202608</t>
        </is>
      </c>
      <c r="K399" s="2" t="inlineStr">
        <is>
          <t>우리은행:CR0001A:crdt_grad_avg</t>
        </is>
      </c>
      <c r="L399" s="2" t="inlineStr">
        <is>
          <t>5.51</t>
        </is>
      </c>
    </row>
    <row r="400">
      <c r="A400" s="2" t="inlineStr">
        <is>
          <t>PRD-0399</t>
        </is>
      </c>
      <c r="B400" s="2" t="inlineStr">
        <is>
          <t>공시형</t>
        </is>
      </c>
      <c r="C400" s="2" t="inlineStr">
        <is>
          <t>대출</t>
        </is>
      </c>
      <c r="D400" s="2" t="inlineStr">
        <is>
          <t>신용대출</t>
        </is>
      </c>
      <c r="E400" s="2" t="inlineStr">
        <is>
          <t>credit_avg_rate</t>
        </is>
      </c>
      <c r="F400" s="2" t="inlineStr">
        <is>
          <t>우리은행 '협약금리 外 신용대출상품(마이너스한도대출)'의 평균 금리는 공시 기준 연 몇 %인가?</t>
        </is>
      </c>
      <c r="G400" s="2" t="inlineStr">
        <is>
          <t>numeric</t>
        </is>
      </c>
      <c r="H400" s="2" t="inlineStr">
        <is>
          <t>5.27</t>
        </is>
      </c>
      <c r="I400" s="2" t="inlineStr">
        <is>
          <t>%</t>
        </is>
      </c>
      <c r="J400" s="2" t="inlineStr">
        <is>
          <t>금융감독원 금융상품통합비교공시 Open API (finlife.fss.or.kr), 202608</t>
        </is>
      </c>
      <c r="K400" s="2" t="inlineStr">
        <is>
          <t>우리은행:CR0001C:crdt_grad_avg</t>
        </is>
      </c>
      <c r="L400" s="2" t="inlineStr">
        <is>
          <t>5.27</t>
        </is>
      </c>
    </row>
    <row r="401">
      <c r="A401" s="2" t="inlineStr">
        <is>
          <t>PRD-0400</t>
        </is>
      </c>
      <c r="B401" s="2" t="inlineStr">
        <is>
          <t>공시형</t>
        </is>
      </c>
      <c r="C401" s="2" t="inlineStr">
        <is>
          <t>대출</t>
        </is>
      </c>
      <c r="D401" s="2" t="inlineStr">
        <is>
          <t>신용대출</t>
        </is>
      </c>
      <c r="E401" s="2" t="inlineStr">
        <is>
          <t>credit_avg_rate</t>
        </is>
      </c>
      <c r="F401" s="2" t="inlineStr">
        <is>
          <t>공시상 전북은행 '가계일반자금대출'의 평균 대출금리는 연 몇 %인가?</t>
        </is>
      </c>
      <c r="G401" s="2" t="inlineStr">
        <is>
          <t>numeric</t>
        </is>
      </c>
      <c r="H401" s="2" t="inlineStr">
        <is>
          <t>13.05</t>
        </is>
      </c>
      <c r="I401" s="2" t="inlineStr">
        <is>
          <t>%</t>
        </is>
      </c>
      <c r="J401" s="2" t="inlineStr">
        <is>
          <t>금융감독원 금융상품통합비교공시 Open API (finlife.fss.or.kr), 202608</t>
        </is>
      </c>
      <c r="K401" s="2" t="inlineStr">
        <is>
          <t>전북은행:CR0001A:crdt_grad_avg</t>
        </is>
      </c>
      <c r="L401" s="2" t="inlineStr">
        <is>
          <t>13.05</t>
        </is>
      </c>
    </row>
    <row r="402">
      <c r="A402" s="2" t="inlineStr">
        <is>
          <t>PRD-0401</t>
        </is>
      </c>
      <c r="B402" s="2" t="inlineStr">
        <is>
          <t>공시형</t>
        </is>
      </c>
      <c r="C402" s="2" t="inlineStr">
        <is>
          <t>대출</t>
        </is>
      </c>
      <c r="D402" s="2" t="inlineStr">
        <is>
          <t>신용대출</t>
        </is>
      </c>
      <c r="E402" s="2" t="inlineStr">
        <is>
          <t>credit_avg_rate</t>
        </is>
      </c>
      <c r="F402" s="2" t="inlineStr">
        <is>
          <t>전북은행 '평생종합통장'의 평균 금리는 공시 기준 연 몇 %인가?</t>
        </is>
      </c>
      <c r="G402" s="2" t="inlineStr">
        <is>
          <t>numeric</t>
        </is>
      </c>
      <c r="H402" s="2" t="inlineStr">
        <is>
          <t>6.01</t>
        </is>
      </c>
      <c r="I402" s="2" t="inlineStr">
        <is>
          <t>%</t>
        </is>
      </c>
      <c r="J402" s="2" t="inlineStr">
        <is>
          <t>금융감독원 금융상품통합비교공시 Open API (finlife.fss.or.kr), 202608</t>
        </is>
      </c>
      <c r="K402" s="2" t="inlineStr">
        <is>
          <t>전북은행:CR0001C:crdt_grad_avg</t>
        </is>
      </c>
      <c r="L402" s="2" t="inlineStr">
        <is>
          <t>6.01</t>
        </is>
      </c>
    </row>
    <row r="403">
      <c r="A403" s="2" t="inlineStr">
        <is>
          <t>PRD-0402</t>
        </is>
      </c>
      <c r="B403" s="2" t="inlineStr">
        <is>
          <t>공시형</t>
        </is>
      </c>
      <c r="C403" s="2" t="inlineStr">
        <is>
          <t>대출</t>
        </is>
      </c>
      <c r="D403" s="2" t="inlineStr">
        <is>
          <t>신용대출</t>
        </is>
      </c>
      <c r="E403" s="2" t="inlineStr">
        <is>
          <t>credit_avg_rate</t>
        </is>
      </c>
      <c r="F403" s="2" t="inlineStr">
        <is>
          <t>전북은행 '장기카드대출'의 평균 금리는 공시 기준 연 몇 %인가?</t>
        </is>
      </c>
      <c r="G403" s="2" t="inlineStr">
        <is>
          <t>numeric</t>
        </is>
      </c>
      <c r="H403" s="2" t="inlineStr">
        <is>
          <t>12.52</t>
        </is>
      </c>
      <c r="I403" s="2" t="inlineStr">
        <is>
          <t>%</t>
        </is>
      </c>
      <c r="J403" s="2" t="inlineStr">
        <is>
          <t>금융감독원 금융상품통합비교공시 Open API (finlife.fss.or.kr), 202608</t>
        </is>
      </c>
      <c r="K403" s="2" t="inlineStr">
        <is>
          <t>전북은행:WR0002F:crdt_grad_avg</t>
        </is>
      </c>
      <c r="L403" s="2" t="inlineStr">
        <is>
          <t>12.52</t>
        </is>
      </c>
    </row>
    <row r="404">
      <c r="A404" s="2" t="inlineStr">
        <is>
          <t>PRD-0403</t>
        </is>
      </c>
      <c r="B404" s="2" t="inlineStr">
        <is>
          <t>공시형</t>
        </is>
      </c>
      <c r="C404" s="2" t="inlineStr">
        <is>
          <t>대출</t>
        </is>
      </c>
      <c r="D404" s="2" t="inlineStr">
        <is>
          <t>신용대출</t>
        </is>
      </c>
      <c r="E404" s="2" t="inlineStr">
        <is>
          <t>credit_avg_rate</t>
        </is>
      </c>
      <c r="F404" s="2" t="inlineStr">
        <is>
          <t>공시상 제주은행 '개인신용대출'의 평균 대출금리는 연 몇 %인가?</t>
        </is>
      </c>
      <c r="G404" s="2" t="inlineStr">
        <is>
          <t>numeric</t>
        </is>
      </c>
      <c r="H404" s="2" t="inlineStr">
        <is>
          <t>4.51</t>
        </is>
      </c>
      <c r="I404" s="2" t="inlineStr">
        <is>
          <t>%</t>
        </is>
      </c>
      <c r="J404" s="2" t="inlineStr">
        <is>
          <t>금융감독원 금융상품통합비교공시 Open API (finlife.fss.or.kr), 202608</t>
        </is>
      </c>
      <c r="K404" s="2" t="inlineStr">
        <is>
          <t>제주은행:WR0001F:crdt_grad_avg</t>
        </is>
      </c>
      <c r="L404" s="2" t="inlineStr">
        <is>
          <t>4.51</t>
        </is>
      </c>
    </row>
    <row r="405">
      <c r="A405" s="2" t="inlineStr">
        <is>
          <t>PRD-0404</t>
        </is>
      </c>
      <c r="B405" s="2" t="inlineStr">
        <is>
          <t>공시형</t>
        </is>
      </c>
      <c r="C405" s="2" t="inlineStr">
        <is>
          <t>대출</t>
        </is>
      </c>
      <c r="D405" s="2" t="inlineStr">
        <is>
          <t>신용대출</t>
        </is>
      </c>
      <c r="E405" s="2" t="inlineStr">
        <is>
          <t>credit_avg_rate</t>
        </is>
      </c>
      <c r="F405" s="2" t="inlineStr">
        <is>
          <t>제주은행 '개인신용대출2'의 평균 금리는 공시 기준 연 몇 %인가?</t>
        </is>
      </c>
      <c r="G405" s="2" t="inlineStr">
        <is>
          <t>numeric</t>
        </is>
      </c>
      <c r="H405" s="2" t="inlineStr">
        <is>
          <t>5.09</t>
        </is>
      </c>
      <c r="I405" s="2" t="inlineStr">
        <is>
          <t>%</t>
        </is>
      </c>
      <c r="J405" s="2" t="inlineStr">
        <is>
          <t>금융감독원 금융상품통합비교공시 Open API (finlife.fss.or.kr), 202608</t>
        </is>
      </c>
      <c r="K405" s="2" t="inlineStr">
        <is>
          <t>제주은행:WR0002F:crdt_grad_avg</t>
        </is>
      </c>
      <c r="L405" s="2" t="inlineStr">
        <is>
          <t>5.09</t>
        </is>
      </c>
    </row>
    <row r="406">
      <c r="A406" s="2" t="inlineStr">
        <is>
          <t>PRD-0405</t>
        </is>
      </c>
      <c r="B406" s="2" t="inlineStr">
        <is>
          <t>공시형</t>
        </is>
      </c>
      <c r="C406" s="2" t="inlineStr">
        <is>
          <t>대출</t>
        </is>
      </c>
      <c r="D406" s="2" t="inlineStr">
        <is>
          <t>신용대출</t>
        </is>
      </c>
      <c r="E406" s="2" t="inlineStr">
        <is>
          <t>abstain_missing_field</t>
        </is>
      </c>
      <c r="F406" s="2" t="inlineStr">
        <is>
          <t>경남은행 '일반신용대출'의 한도 상한 금액을 공시에서 찾으면 얼마인가?</t>
        </is>
      </c>
      <c r="G406" s="2" t="inlineStr">
        <is>
          <t>abstain</t>
        </is>
      </c>
      <c r="H406" s="2" t="inlineStr">
        <is>
          <t>공시에 해당 정보 없음</t>
        </is>
      </c>
      <c r="I406" s="2" t="inlineStr"/>
      <c r="J406" s="2" t="inlineStr">
        <is>
          <t>금융감독원 금융상품통합비교공시 Open API (finlife.fss.or.kr), 202608</t>
        </is>
      </c>
      <c r="K406" s="2" t="inlineStr">
        <is>
          <t>경남은행:CR0001A:max_limit</t>
        </is>
      </c>
      <c r="L406" s="2" t="inlineStr">
        <is>
          <t>(공시값 없음)</t>
        </is>
      </c>
    </row>
    <row r="407">
      <c r="A407" s="2" t="inlineStr">
        <is>
          <t>PRD-0406</t>
        </is>
      </c>
      <c r="B407" s="2" t="inlineStr">
        <is>
          <t>공시형</t>
        </is>
      </c>
      <c r="C407" s="2" t="inlineStr">
        <is>
          <t>대출</t>
        </is>
      </c>
      <c r="D407" s="2" t="inlineStr">
        <is>
          <t>신용대출</t>
        </is>
      </c>
      <c r="E407" s="2" t="inlineStr">
        <is>
          <t>abstain_missing_field</t>
        </is>
      </c>
      <c r="F407" s="2" t="inlineStr">
        <is>
          <t>경남은행 '마이너스한도대출'의 공시된 최고 한도 금액은 얼마인가?</t>
        </is>
      </c>
      <c r="G407" s="2" t="inlineStr">
        <is>
          <t>abstain</t>
        </is>
      </c>
      <c r="H407" s="2" t="inlineStr">
        <is>
          <t>공시에 해당 정보 없음</t>
        </is>
      </c>
      <c r="I407" s="2" t="inlineStr"/>
      <c r="J407" s="2" t="inlineStr">
        <is>
          <t>금융감독원 금융상품통합비교공시 Open API (finlife.fss.or.kr), 202608</t>
        </is>
      </c>
      <c r="K407" s="2" t="inlineStr">
        <is>
          <t>경남은행:CR0001B:max_limit</t>
        </is>
      </c>
      <c r="L407" s="2" t="inlineStr">
        <is>
          <t>(공시값 없음)</t>
        </is>
      </c>
    </row>
    <row r="408">
      <c r="A408" s="2" t="inlineStr">
        <is>
          <t>PRD-0407</t>
        </is>
      </c>
      <c r="B408" s="2" t="inlineStr">
        <is>
          <t>공시형</t>
        </is>
      </c>
      <c r="C408" s="2" t="inlineStr">
        <is>
          <t>대출</t>
        </is>
      </c>
      <c r="D408" s="2" t="inlineStr">
        <is>
          <t>신용대출</t>
        </is>
      </c>
      <c r="E408" s="2" t="inlineStr">
        <is>
          <t>abstain_missing_field</t>
        </is>
      </c>
      <c r="F408" s="2" t="inlineStr">
        <is>
          <t>경남은행 '장기카드대출'의 공시된 최고 한도 금액은 얼마인가?</t>
        </is>
      </c>
      <c r="G408" s="2" t="inlineStr">
        <is>
          <t>abstain</t>
        </is>
      </c>
      <c r="H408" s="2" t="inlineStr">
        <is>
          <t>공시에 해당 정보 없음</t>
        </is>
      </c>
      <c r="I408" s="2" t="inlineStr"/>
      <c r="J408" s="2" t="inlineStr">
        <is>
          <t>금융감독원 금융상품통합비교공시 Open API (finlife.fss.or.kr), 202608</t>
        </is>
      </c>
      <c r="K408" s="2" t="inlineStr">
        <is>
          <t>경남은행:WR0002F:max_limit</t>
        </is>
      </c>
      <c r="L408" s="2" t="inlineStr">
        <is>
          <t>(공시값 없음)</t>
        </is>
      </c>
    </row>
    <row r="409">
      <c r="A409" s="2" t="inlineStr">
        <is>
          <t>PRD-0408</t>
        </is>
      </c>
      <c r="B409" s="2" t="inlineStr">
        <is>
          <t>공시형</t>
        </is>
      </c>
      <c r="C409" s="2" t="inlineStr">
        <is>
          <t>대출</t>
        </is>
      </c>
      <c r="D409" s="2" t="inlineStr">
        <is>
          <t>신용대출</t>
        </is>
      </c>
      <c r="E409" s="2" t="inlineStr">
        <is>
          <t>abstain_missing_field</t>
        </is>
      </c>
      <c r="F409" s="2" t="inlineStr">
        <is>
          <t>광주은행 '일반신용대출'의 공시된 최고 한도 금액은 얼마인가?</t>
        </is>
      </c>
      <c r="G409" s="2" t="inlineStr">
        <is>
          <t>abstain</t>
        </is>
      </c>
      <c r="H409" s="2" t="inlineStr">
        <is>
          <t>공시에 해당 정보 없음</t>
        </is>
      </c>
      <c r="I409" s="2" t="inlineStr"/>
      <c r="J409" s="2" t="inlineStr">
        <is>
          <t>금융감독원 금융상품통합비교공시 Open API (finlife.fss.or.kr), 202608</t>
        </is>
      </c>
      <c r="K409" s="2" t="inlineStr">
        <is>
          <t>광주은행:1:max_limit</t>
        </is>
      </c>
      <c r="L409" s="2" t="inlineStr">
        <is>
          <t>(공시값 없음)</t>
        </is>
      </c>
    </row>
    <row r="410">
      <c r="A410" s="2" t="inlineStr">
        <is>
          <t>PRD-0409</t>
        </is>
      </c>
      <c r="B410" s="2" t="inlineStr">
        <is>
          <t>공시형</t>
        </is>
      </c>
      <c r="C410" s="2" t="inlineStr">
        <is>
          <t>대출</t>
        </is>
      </c>
      <c r="D410" s="2" t="inlineStr">
        <is>
          <t>신용대출</t>
        </is>
      </c>
      <c r="E410" s="2" t="inlineStr">
        <is>
          <t>abstain_missing_field</t>
        </is>
      </c>
      <c r="F410" s="2" t="inlineStr">
        <is>
          <t>광주은행 '마이너스한도대출'의 최고 한도는 공시에서 얼마로 확인되는가?</t>
        </is>
      </c>
      <c r="G410" s="2" t="inlineStr">
        <is>
          <t>abstain</t>
        </is>
      </c>
      <c r="H410" s="2" t="inlineStr">
        <is>
          <t>공시에 해당 정보 없음</t>
        </is>
      </c>
      <c r="I410" s="2" t="inlineStr"/>
      <c r="J410" s="2" t="inlineStr">
        <is>
          <t>금융감독원 금융상품통합비교공시 Open API (finlife.fss.or.kr), 202608</t>
        </is>
      </c>
      <c r="K410" s="2" t="inlineStr">
        <is>
          <t>광주은행:2:max_limit</t>
        </is>
      </c>
      <c r="L410" s="2" t="inlineStr">
        <is>
          <t>(공시값 없음)</t>
        </is>
      </c>
    </row>
    <row r="411">
      <c r="A411" s="2" t="inlineStr">
        <is>
          <t>PRD-0410</t>
        </is>
      </c>
      <c r="B411" s="2" t="inlineStr">
        <is>
          <t>공시형</t>
        </is>
      </c>
      <c r="C411" s="2" t="inlineStr">
        <is>
          <t>대출</t>
        </is>
      </c>
      <c r="D411" s="2" t="inlineStr">
        <is>
          <t>신용대출</t>
        </is>
      </c>
      <c r="E411" s="2" t="inlineStr">
        <is>
          <t>abstain_missing_field</t>
        </is>
      </c>
      <c r="F411" s="2" t="inlineStr">
        <is>
          <t>광주은행 '장기카드대출'의 공시된 최고 한도 금액은 얼마인가?</t>
        </is>
      </c>
      <c r="G411" s="2" t="inlineStr">
        <is>
          <t>abstain</t>
        </is>
      </c>
      <c r="H411" s="2" t="inlineStr">
        <is>
          <t>공시에 해당 정보 없음</t>
        </is>
      </c>
      <c r="I411" s="2" t="inlineStr"/>
      <c r="J411" s="2" t="inlineStr">
        <is>
          <t>금융감독원 금융상품통합비교공시 Open API (finlife.fss.or.kr), 202608</t>
        </is>
      </c>
      <c r="K411" s="2" t="inlineStr">
        <is>
          <t>광주은행:WR0002F:max_limit</t>
        </is>
      </c>
      <c r="L411" s="2" t="inlineStr">
        <is>
          <t>(공시값 없음)</t>
        </is>
      </c>
    </row>
    <row r="412">
      <c r="A412" s="2" t="inlineStr">
        <is>
          <t>PRD-0411</t>
        </is>
      </c>
      <c r="B412" s="2" t="inlineStr">
        <is>
          <t>공시형</t>
        </is>
      </c>
      <c r="C412" s="2" t="inlineStr">
        <is>
          <t>대출</t>
        </is>
      </c>
      <c r="D412" s="2" t="inlineStr">
        <is>
          <t>신용대출</t>
        </is>
      </c>
      <c r="E412" s="2" t="inlineStr">
        <is>
          <t>abstain_missing_field</t>
        </is>
      </c>
      <c r="F412" s="2" t="inlineStr">
        <is>
          <t>국민은행 '일반신용대출'의 최고 한도는 공시에서 얼마로 확인되는가?</t>
        </is>
      </c>
      <c r="G412" s="2" t="inlineStr">
        <is>
          <t>abstain</t>
        </is>
      </c>
      <c r="H412" s="2" t="inlineStr">
        <is>
          <t>공시에 해당 정보 없음</t>
        </is>
      </c>
      <c r="I412" s="2" t="inlineStr"/>
      <c r="J412" s="2" t="inlineStr">
        <is>
          <t>금융감독원 금융상품통합비교공시 Open API (finlife.fss.or.kr), 202608</t>
        </is>
      </c>
      <c r="K412" s="2" t="inlineStr">
        <is>
          <t>국민은행:KB200200000001:max_limit</t>
        </is>
      </c>
      <c r="L412" s="2" t="inlineStr">
        <is>
          <t>(공시값 없음)</t>
        </is>
      </c>
    </row>
    <row r="413">
      <c r="A413" s="2" t="inlineStr">
        <is>
          <t>PRD-0412</t>
        </is>
      </c>
      <c r="B413" s="2" t="inlineStr">
        <is>
          <t>공시형</t>
        </is>
      </c>
      <c r="C413" s="2" t="inlineStr">
        <is>
          <t>대출</t>
        </is>
      </c>
      <c r="D413" s="2" t="inlineStr">
        <is>
          <t>신용대출</t>
        </is>
      </c>
      <c r="E413" s="2" t="inlineStr">
        <is>
          <t>abstain_missing_field</t>
        </is>
      </c>
      <c r="F413" s="2" t="inlineStr">
        <is>
          <t>국민은행 '마이너스한도대출'의 공시된 최고 한도 금액은 얼마인가?</t>
        </is>
      </c>
      <c r="G413" s="2" t="inlineStr">
        <is>
          <t>abstain</t>
        </is>
      </c>
      <c r="H413" s="2" t="inlineStr">
        <is>
          <t>공시에 해당 정보 없음</t>
        </is>
      </c>
      <c r="I413" s="2" t="inlineStr"/>
      <c r="J413" s="2" t="inlineStr">
        <is>
          <t>금융감독원 금융상품통합비교공시 Open API (finlife.fss.or.kr), 202608</t>
        </is>
      </c>
      <c r="K413" s="2" t="inlineStr">
        <is>
          <t>국민은행:KB200200000002:max_limit</t>
        </is>
      </c>
      <c r="L413" s="2" t="inlineStr">
        <is>
          <t>(공시값 없음)</t>
        </is>
      </c>
    </row>
    <row r="414">
      <c r="A414" s="2" t="inlineStr">
        <is>
          <t>PRD-0413</t>
        </is>
      </c>
      <c r="B414" s="2" t="inlineStr">
        <is>
          <t>공시형</t>
        </is>
      </c>
      <c r="C414" s="2" t="inlineStr">
        <is>
          <t>대출</t>
        </is>
      </c>
      <c r="D414" s="2" t="inlineStr">
        <is>
          <t>신용대출</t>
        </is>
      </c>
      <c r="E414" s="2" t="inlineStr">
        <is>
          <t>abstain_missing_field</t>
        </is>
      </c>
      <c r="F414" s="2" t="inlineStr">
        <is>
          <t>농협은행주식회사 '가계신용대출(일반)'의 한도 상한 금액을 공시에서 찾으면 얼마인가?</t>
        </is>
      </c>
      <c r="G414" s="2" t="inlineStr">
        <is>
          <t>abstain</t>
        </is>
      </c>
      <c r="H414" s="2" t="inlineStr">
        <is>
          <t>공시에 해당 정보 없음</t>
        </is>
      </c>
      <c r="I414" s="2" t="inlineStr"/>
      <c r="J414" s="2" t="inlineStr">
        <is>
          <t>금융감독원 금융상품통합비교공시 Open API (finlife.fss.or.kr), 202608</t>
        </is>
      </c>
      <c r="K414" s="2" t="inlineStr">
        <is>
          <t>농협은행주식회사:CR0001A:max_limit</t>
        </is>
      </c>
      <c r="L414" s="2" t="inlineStr">
        <is>
          <t>(공시값 없음)</t>
        </is>
      </c>
    </row>
    <row r="415">
      <c r="A415" s="2" t="inlineStr">
        <is>
          <t>PRD-0414</t>
        </is>
      </c>
      <c r="B415" s="2" t="inlineStr">
        <is>
          <t>공시형</t>
        </is>
      </c>
      <c r="C415" s="2" t="inlineStr">
        <is>
          <t>대출</t>
        </is>
      </c>
      <c r="D415" s="2" t="inlineStr">
        <is>
          <t>신용대출</t>
        </is>
      </c>
      <c r="E415" s="2" t="inlineStr">
        <is>
          <t>abstain_missing_field</t>
        </is>
      </c>
      <c r="F415" s="2" t="inlineStr">
        <is>
          <t>농협은행주식회사 '가계신용대출(마이너스대출)'의 공시된 최고 한도 금액은 얼마인가?</t>
        </is>
      </c>
      <c r="G415" s="2" t="inlineStr">
        <is>
          <t>abstain</t>
        </is>
      </c>
      <c r="H415" s="2" t="inlineStr">
        <is>
          <t>공시에 해당 정보 없음</t>
        </is>
      </c>
      <c r="I415" s="2" t="inlineStr"/>
      <c r="J415" s="2" t="inlineStr">
        <is>
          <t>금융감독원 금융상품통합비교공시 Open API (finlife.fss.or.kr), 202608</t>
        </is>
      </c>
      <c r="K415" s="2" t="inlineStr">
        <is>
          <t>농협은행주식회사:CR0001B:max_limit</t>
        </is>
      </c>
      <c r="L415" s="2" t="inlineStr">
        <is>
          <t>(공시값 없음)</t>
        </is>
      </c>
    </row>
    <row r="416">
      <c r="A416" s="2" t="inlineStr">
        <is>
          <t>PRD-0415</t>
        </is>
      </c>
      <c r="B416" s="2" t="inlineStr">
        <is>
          <t>공시형</t>
        </is>
      </c>
      <c r="C416" s="2" t="inlineStr">
        <is>
          <t>대출</t>
        </is>
      </c>
      <c r="D416" s="2" t="inlineStr">
        <is>
          <t>신용대출</t>
        </is>
      </c>
      <c r="E416" s="2" t="inlineStr">
        <is>
          <t>abstain_missing_field</t>
        </is>
      </c>
      <c r="F416" s="2" t="inlineStr">
        <is>
          <t>농협은행주식회사 '장기카드대출'의 공시된 최고 한도 금액은 얼마인가?</t>
        </is>
      </c>
      <c r="G416" s="2" t="inlineStr">
        <is>
          <t>abstain</t>
        </is>
      </c>
      <c r="H416" s="2" t="inlineStr">
        <is>
          <t>공시에 해당 정보 없음</t>
        </is>
      </c>
      <c r="I416" s="2" t="inlineStr"/>
      <c r="J416" s="2" t="inlineStr">
        <is>
          <t>금융감독원 금융상품통합비교공시 Open API (finlife.fss.or.kr), 202608</t>
        </is>
      </c>
      <c r="K416" s="2" t="inlineStr">
        <is>
          <t>농협은행주식회사:WR0002F:max_limit</t>
        </is>
      </c>
      <c r="L416" s="2" t="inlineStr">
        <is>
          <t>(공시값 없음)</t>
        </is>
      </c>
    </row>
    <row r="417">
      <c r="A417" s="2" t="inlineStr">
        <is>
          <t>PRD-0416</t>
        </is>
      </c>
      <c r="B417" s="2" t="inlineStr">
        <is>
          <t>공시형</t>
        </is>
      </c>
      <c r="C417" s="2" t="inlineStr">
        <is>
          <t>대출</t>
        </is>
      </c>
      <c r="D417" s="2" t="inlineStr">
        <is>
          <t>신용대출</t>
        </is>
      </c>
      <c r="E417" s="2" t="inlineStr">
        <is>
          <t>abstain_missing_field</t>
        </is>
      </c>
      <c r="F417" s="2" t="inlineStr">
        <is>
          <t>부산은행 'ONE신용대출(일반신용대출)'의 한도 상한 금액을 공시에서 찾으면 얼마인가?</t>
        </is>
      </c>
      <c r="G417" s="2" t="inlineStr">
        <is>
          <t>abstain</t>
        </is>
      </c>
      <c r="H417" s="2" t="inlineStr">
        <is>
          <t>공시에 해당 정보 없음</t>
        </is>
      </c>
      <c r="I417" s="2" t="inlineStr"/>
      <c r="J417" s="2" t="inlineStr">
        <is>
          <t>금융감독원 금융상품통합비교공시 Open API (finlife.fss.or.kr), 202608</t>
        </is>
      </c>
      <c r="K417" s="2" t="inlineStr">
        <is>
          <t>부산은행:1300:max_limit</t>
        </is>
      </c>
      <c r="L417" s="2" t="inlineStr">
        <is>
          <t>(공시값 없음)</t>
        </is>
      </c>
    </row>
    <row r="418">
      <c r="A418" s="2" t="inlineStr">
        <is>
          <t>PRD-0417</t>
        </is>
      </c>
      <c r="B418" s="2" t="inlineStr">
        <is>
          <t>공시형</t>
        </is>
      </c>
      <c r="C418" s="2" t="inlineStr">
        <is>
          <t>대출</t>
        </is>
      </c>
      <c r="D418" s="2" t="inlineStr">
        <is>
          <t>신용대출</t>
        </is>
      </c>
      <c r="E418" s="2" t="inlineStr">
        <is>
          <t>abstain_missing_field</t>
        </is>
      </c>
      <c r="F418" s="2" t="inlineStr">
        <is>
          <t>부산은행 'ONE신용대출(마이너스한도대출)'의 한도 상한 금액을 공시에서 찾으면 얼마인가?</t>
        </is>
      </c>
      <c r="G418" s="2" t="inlineStr">
        <is>
          <t>abstain</t>
        </is>
      </c>
      <c r="H418" s="2" t="inlineStr">
        <is>
          <t>공시에 해당 정보 없음</t>
        </is>
      </c>
      <c r="I418" s="2" t="inlineStr"/>
      <c r="J418" s="2" t="inlineStr">
        <is>
          <t>금융감독원 금융상품통합비교공시 Open API (finlife.fss.or.kr), 202608</t>
        </is>
      </c>
      <c r="K418" s="2" t="inlineStr">
        <is>
          <t>부산은행:1301:max_limit</t>
        </is>
      </c>
      <c r="L418" s="2" t="inlineStr">
        <is>
          <t>(공시값 없음)</t>
        </is>
      </c>
    </row>
    <row r="419">
      <c r="A419" s="2" t="inlineStr">
        <is>
          <t>PRD-0418</t>
        </is>
      </c>
      <c r="B419" s="2" t="inlineStr">
        <is>
          <t>공시형</t>
        </is>
      </c>
      <c r="C419" s="2" t="inlineStr">
        <is>
          <t>대출</t>
        </is>
      </c>
      <c r="D419" s="2" t="inlineStr">
        <is>
          <t>신용대출</t>
        </is>
      </c>
      <c r="E419" s="2" t="inlineStr">
        <is>
          <t>abstain_missing_field</t>
        </is>
      </c>
      <c r="F419" s="2" t="inlineStr">
        <is>
          <t>부산은행 '장기카드대출'의 공시된 최고 한도 금액은 얼마인가?</t>
        </is>
      </c>
      <c r="G419" s="2" t="inlineStr">
        <is>
          <t>abstain</t>
        </is>
      </c>
      <c r="H419" s="2" t="inlineStr">
        <is>
          <t>공시에 해당 정보 없음</t>
        </is>
      </c>
      <c r="I419" s="2" t="inlineStr"/>
      <c r="J419" s="2" t="inlineStr">
        <is>
          <t>금융감독원 금융상품통합비교공시 Open API (finlife.fss.or.kr), 202608</t>
        </is>
      </c>
      <c r="K419" s="2" t="inlineStr">
        <is>
          <t>부산은행:WR0002F:max_limit</t>
        </is>
      </c>
      <c r="L419" s="2" t="inlineStr">
        <is>
          <t>(공시값 없음)</t>
        </is>
      </c>
    </row>
    <row r="420">
      <c r="A420" s="2" t="inlineStr">
        <is>
          <t>PRD-0419</t>
        </is>
      </c>
      <c r="B420" s="2" t="inlineStr">
        <is>
          <t>공시형</t>
        </is>
      </c>
      <c r="C420" s="2" t="inlineStr">
        <is>
          <t>대출</t>
        </is>
      </c>
      <c r="D420" s="2" t="inlineStr">
        <is>
          <t>신용대출</t>
        </is>
      </c>
      <c r="E420" s="2" t="inlineStr">
        <is>
          <t>abstain_missing_field</t>
        </is>
      </c>
      <c r="F420" s="2" t="inlineStr">
        <is>
          <t>수협은행 '개인신용대출'의 공시된 최고 한도 금액은 얼마인가?</t>
        </is>
      </c>
      <c r="G420" s="2" t="inlineStr">
        <is>
          <t>abstain</t>
        </is>
      </c>
      <c r="H420" s="2" t="inlineStr">
        <is>
          <t>공시에 해당 정보 없음</t>
        </is>
      </c>
      <c r="I420" s="2" t="inlineStr"/>
      <c r="J420" s="2" t="inlineStr">
        <is>
          <t>금융감독원 금융상품통합비교공시 Open API (finlife.fss.or.kr), 202608</t>
        </is>
      </c>
      <c r="K420" s="2" t="inlineStr">
        <is>
          <t>수협은행:601:max_limit</t>
        </is>
      </c>
      <c r="L420" s="2" t="inlineStr">
        <is>
          <t>(공시값 없음)</t>
        </is>
      </c>
    </row>
    <row r="421">
      <c r="A421" s="2" t="inlineStr">
        <is>
          <t>PRD-0420</t>
        </is>
      </c>
      <c r="B421" s="2" t="inlineStr">
        <is>
          <t>공시형</t>
        </is>
      </c>
      <c r="C421" s="2" t="inlineStr">
        <is>
          <t>대출</t>
        </is>
      </c>
      <c r="D421" s="2" t="inlineStr">
        <is>
          <t>신용대출</t>
        </is>
      </c>
      <c r="E421" s="2" t="inlineStr">
        <is>
          <t>abstain_missing_field</t>
        </is>
      </c>
      <c r="F421" s="2" t="inlineStr">
        <is>
          <t>수협은행 '개인신용마이너스한도대출'의 공시된 최고 한도 금액은 얼마인가?</t>
        </is>
      </c>
      <c r="G421" s="2" t="inlineStr">
        <is>
          <t>abstain</t>
        </is>
      </c>
      <c r="H421" s="2" t="inlineStr">
        <is>
          <t>공시에 해당 정보 없음</t>
        </is>
      </c>
      <c r="I421" s="2" t="inlineStr"/>
      <c r="J421" s="2" t="inlineStr">
        <is>
          <t>금융감독원 금융상품통합비교공시 Open API (finlife.fss.or.kr), 202608</t>
        </is>
      </c>
      <c r="K421" s="2" t="inlineStr">
        <is>
          <t>수협은행:804:max_limit</t>
        </is>
      </c>
      <c r="L421" s="2" t="inlineStr">
        <is>
          <t>(공시값 없음)</t>
        </is>
      </c>
    </row>
    <row r="422">
      <c r="A422" s="2" t="inlineStr">
        <is>
          <t>PRD-0421</t>
        </is>
      </c>
      <c r="B422" s="2" t="inlineStr">
        <is>
          <t>공시형</t>
        </is>
      </c>
      <c r="C422" s="2" t="inlineStr">
        <is>
          <t>대출</t>
        </is>
      </c>
      <c r="D422" s="2" t="inlineStr">
        <is>
          <t>신용대출</t>
        </is>
      </c>
      <c r="E422" s="2" t="inlineStr">
        <is>
          <t>abstain_missing_field</t>
        </is>
      </c>
      <c r="F422" s="2" t="inlineStr">
        <is>
          <t>신한은행 '개인신용대출(일반신용대출)'의 한도 상한 금액을 공시에서 찾으면 얼마인가?</t>
        </is>
      </c>
      <c r="G422" s="2" t="inlineStr">
        <is>
          <t>abstain</t>
        </is>
      </c>
      <c r="H422" s="2" t="inlineStr">
        <is>
          <t>공시에 해당 정보 없음</t>
        </is>
      </c>
      <c r="I422" s="2" t="inlineStr"/>
      <c r="J422" s="2" t="inlineStr">
        <is>
          <t>금융감독원 금융상품통합비교공시 Open API (finlife.fss.or.kr), 202608</t>
        </is>
      </c>
      <c r="K422" s="2" t="inlineStr">
        <is>
          <t>신한은행:CR0001A:max_limit</t>
        </is>
      </c>
      <c r="L422" s="2" t="inlineStr">
        <is>
          <t>(공시값 없음)</t>
        </is>
      </c>
    </row>
    <row r="423">
      <c r="A423" s="2" t="inlineStr">
        <is>
          <t>PRD-0422</t>
        </is>
      </c>
      <c r="B423" s="2" t="inlineStr">
        <is>
          <t>공시형</t>
        </is>
      </c>
      <c r="C423" s="2" t="inlineStr">
        <is>
          <t>대출</t>
        </is>
      </c>
      <c r="D423" s="2" t="inlineStr">
        <is>
          <t>신용대출</t>
        </is>
      </c>
      <c r="E423" s="2" t="inlineStr">
        <is>
          <t>abstain_missing_field</t>
        </is>
      </c>
      <c r="F423" s="2" t="inlineStr">
        <is>
          <t>신한은행 '개인신용대출(마이너스한도대출)'의 한도 상한 금액을 공시에서 찾으면 얼마인가?</t>
        </is>
      </c>
      <c r="G423" s="2" t="inlineStr">
        <is>
          <t>abstain</t>
        </is>
      </c>
      <c r="H423" s="2" t="inlineStr">
        <is>
          <t>공시에 해당 정보 없음</t>
        </is>
      </c>
      <c r="I423" s="2" t="inlineStr"/>
      <c r="J423" s="2" t="inlineStr">
        <is>
          <t>금융감독원 금융상품통합비교공시 Open API (finlife.fss.or.kr), 202608</t>
        </is>
      </c>
      <c r="K423" s="2" t="inlineStr">
        <is>
          <t>신한은행:CR0001C:max_limit</t>
        </is>
      </c>
      <c r="L423" s="2" t="inlineStr">
        <is>
          <t>(공시값 없음)</t>
        </is>
      </c>
    </row>
    <row r="424">
      <c r="A424" s="2" t="inlineStr">
        <is>
          <t>PRD-0423</t>
        </is>
      </c>
      <c r="B424" s="2" t="inlineStr">
        <is>
          <t>공시형</t>
        </is>
      </c>
      <c r="C424" s="2" t="inlineStr">
        <is>
          <t>대출</t>
        </is>
      </c>
      <c r="D424" s="2" t="inlineStr">
        <is>
          <t>신용대출</t>
        </is>
      </c>
      <c r="E424" s="2" t="inlineStr">
        <is>
          <t>abstain_missing_field</t>
        </is>
      </c>
      <c r="F424" s="2" t="inlineStr">
        <is>
          <t>아이엠뱅크 '일반신용대출'의 공시된 최고 한도 금액은 얼마인가?</t>
        </is>
      </c>
      <c r="G424" s="2" t="inlineStr">
        <is>
          <t>abstain</t>
        </is>
      </c>
      <c r="H424" s="2" t="inlineStr">
        <is>
          <t>공시에 해당 정보 없음</t>
        </is>
      </c>
      <c r="I424" s="2" t="inlineStr"/>
      <c r="J424" s="2" t="inlineStr">
        <is>
          <t>금융감독원 금융상품통합비교공시 Open API (finlife.fss.or.kr), 202608</t>
        </is>
      </c>
      <c r="K424" s="2" t="inlineStr">
        <is>
          <t>아이엠뱅크:WR0001F:max_limit</t>
        </is>
      </c>
      <c r="L424" s="2" t="inlineStr">
        <is>
          <t>(공시값 없음)</t>
        </is>
      </c>
    </row>
    <row r="425">
      <c r="A425" s="2" t="inlineStr">
        <is>
          <t>PRD-0424</t>
        </is>
      </c>
      <c r="B425" s="2" t="inlineStr">
        <is>
          <t>공시형</t>
        </is>
      </c>
      <c r="C425" s="2" t="inlineStr">
        <is>
          <t>대출</t>
        </is>
      </c>
      <c r="D425" s="2" t="inlineStr">
        <is>
          <t>신용대출</t>
        </is>
      </c>
      <c r="E425" s="2" t="inlineStr">
        <is>
          <t>abstain_missing_field</t>
        </is>
      </c>
      <c r="F425" s="2" t="inlineStr">
        <is>
          <t>아이엠뱅크 '마이너스한도대출'의 공시된 최고 한도 금액은 얼마인가?</t>
        </is>
      </c>
      <c r="G425" s="2" t="inlineStr">
        <is>
          <t>abstain</t>
        </is>
      </c>
      <c r="H425" s="2" t="inlineStr">
        <is>
          <t>공시에 해당 정보 없음</t>
        </is>
      </c>
      <c r="I425" s="2" t="inlineStr"/>
      <c r="J425" s="2" t="inlineStr">
        <is>
          <t>금융감독원 금융상품통합비교공시 Open API (finlife.fss.or.kr), 202608</t>
        </is>
      </c>
      <c r="K425" s="2" t="inlineStr">
        <is>
          <t>아이엠뱅크:WR0002F:max_limit</t>
        </is>
      </c>
      <c r="L425" s="2" t="inlineStr">
        <is>
          <t>(공시값 없음)</t>
        </is>
      </c>
    </row>
    <row r="426">
      <c r="A426" s="2" t="inlineStr">
        <is>
          <t>PRD-0425</t>
        </is>
      </c>
      <c r="B426" s="2" t="inlineStr">
        <is>
          <t>공시형</t>
        </is>
      </c>
      <c r="C426" s="2" t="inlineStr">
        <is>
          <t>대출</t>
        </is>
      </c>
      <c r="D426" s="2" t="inlineStr">
        <is>
          <t>신용대출</t>
        </is>
      </c>
      <c r="E426" s="2" t="inlineStr">
        <is>
          <t>abstain_missing_field</t>
        </is>
      </c>
      <c r="F426" s="2" t="inlineStr">
        <is>
          <t>아이엠뱅크 '장기카드대출'의 공시된 최고 한도 금액은 얼마인가?</t>
        </is>
      </c>
      <c r="G426" s="2" t="inlineStr">
        <is>
          <t>abstain</t>
        </is>
      </c>
      <c r="H426" s="2" t="inlineStr">
        <is>
          <t>공시에 해당 정보 없음</t>
        </is>
      </c>
      <c r="I426" s="2" t="inlineStr"/>
      <c r="J426" s="2" t="inlineStr">
        <is>
          <t>금융감독원 금융상품통합비교공시 Open API (finlife.fss.or.kr), 202608</t>
        </is>
      </c>
      <c r="K426" s="2" t="inlineStr">
        <is>
          <t>아이엠뱅크:WR0002F:max_limit</t>
        </is>
      </c>
      <c r="L426" s="2" t="inlineStr">
        <is>
          <t>(공시값 없음)</t>
        </is>
      </c>
    </row>
    <row r="427">
      <c r="A427" s="2" t="inlineStr">
        <is>
          <t>PRD-0426</t>
        </is>
      </c>
      <c r="B427" s="2" t="inlineStr">
        <is>
          <t>공시형</t>
        </is>
      </c>
      <c r="C427" s="2" t="inlineStr">
        <is>
          <t>대출</t>
        </is>
      </c>
      <c r="D427" s="2" t="inlineStr">
        <is>
          <t>신용대출</t>
        </is>
      </c>
      <c r="E427" s="2" t="inlineStr">
        <is>
          <t>abstain_missing_field</t>
        </is>
      </c>
      <c r="F427" s="2" t="inlineStr">
        <is>
          <t>우리은행 '협약금리 外 신용대출상품(일반신용대출)'의 한도 상한 금액을 공시에서 찾으면 얼마인가?</t>
        </is>
      </c>
      <c r="G427" s="2" t="inlineStr">
        <is>
          <t>abstain</t>
        </is>
      </c>
      <c r="H427" s="2" t="inlineStr">
        <is>
          <t>공시에 해당 정보 없음</t>
        </is>
      </c>
      <c r="I427" s="2" t="inlineStr"/>
      <c r="J427" s="2" t="inlineStr">
        <is>
          <t>금융감독원 금융상품통합비교공시 Open API (finlife.fss.or.kr), 202608</t>
        </is>
      </c>
      <c r="K427" s="2" t="inlineStr">
        <is>
          <t>우리은행:CR0001A:max_limit</t>
        </is>
      </c>
      <c r="L427" s="2" t="inlineStr">
        <is>
          <t>(공시값 없음)</t>
        </is>
      </c>
    </row>
    <row r="428">
      <c r="A428" s="2" t="inlineStr">
        <is>
          <t>PRD-0427</t>
        </is>
      </c>
      <c r="B428" s="2" t="inlineStr">
        <is>
          <t>공시형</t>
        </is>
      </c>
      <c r="C428" s="2" t="inlineStr">
        <is>
          <t>대출</t>
        </is>
      </c>
      <c r="D428" s="2" t="inlineStr">
        <is>
          <t>신용대출</t>
        </is>
      </c>
      <c r="E428" s="2" t="inlineStr">
        <is>
          <t>abstain_missing_field</t>
        </is>
      </c>
      <c r="F428" s="2" t="inlineStr">
        <is>
          <t>우리은행 '협약금리 外 신용대출상품(마이너스한도대출)'의 한도 상한 금액을 공시에서 찾으면 얼마인가?</t>
        </is>
      </c>
      <c r="G428" s="2" t="inlineStr">
        <is>
          <t>abstain</t>
        </is>
      </c>
      <c r="H428" s="2" t="inlineStr">
        <is>
          <t>공시에 해당 정보 없음</t>
        </is>
      </c>
      <c r="I428" s="2" t="inlineStr"/>
      <c r="J428" s="2" t="inlineStr">
        <is>
          <t>금융감독원 금융상품통합비교공시 Open API (finlife.fss.or.kr), 202608</t>
        </is>
      </c>
      <c r="K428" s="2" t="inlineStr">
        <is>
          <t>우리은행:CR0001C:max_limit</t>
        </is>
      </c>
      <c r="L428" s="2" t="inlineStr">
        <is>
          <t>(공시값 없음)</t>
        </is>
      </c>
    </row>
    <row r="429">
      <c r="A429" s="2" t="inlineStr">
        <is>
          <t>PRD-0428</t>
        </is>
      </c>
      <c r="B429" s="2" t="inlineStr">
        <is>
          <t>공시형</t>
        </is>
      </c>
      <c r="C429" s="2" t="inlineStr">
        <is>
          <t>대출</t>
        </is>
      </c>
      <c r="D429" s="2" t="inlineStr">
        <is>
          <t>신용대출</t>
        </is>
      </c>
      <c r="E429" s="2" t="inlineStr">
        <is>
          <t>abstain_missing_field</t>
        </is>
      </c>
      <c r="F429" s="2" t="inlineStr">
        <is>
          <t>전북은행 '가계일반자금대출'의 한도 상한 금액을 공시에서 찾으면 얼마인가?</t>
        </is>
      </c>
      <c r="G429" s="2" t="inlineStr">
        <is>
          <t>abstain</t>
        </is>
      </c>
      <c r="H429" s="2" t="inlineStr">
        <is>
          <t>공시에 해당 정보 없음</t>
        </is>
      </c>
      <c r="I429" s="2" t="inlineStr"/>
      <c r="J429" s="2" t="inlineStr">
        <is>
          <t>금융감독원 금융상품통합비교공시 Open API (finlife.fss.or.kr), 202608</t>
        </is>
      </c>
      <c r="K429" s="2" t="inlineStr">
        <is>
          <t>전북은행:CR0001A:max_limit</t>
        </is>
      </c>
      <c r="L429" s="2" t="inlineStr">
        <is>
          <t>(공시값 없음)</t>
        </is>
      </c>
    </row>
    <row r="430">
      <c r="A430" s="2" t="inlineStr">
        <is>
          <t>PRD-0429</t>
        </is>
      </c>
      <c r="B430" s="2" t="inlineStr">
        <is>
          <t>공시형</t>
        </is>
      </c>
      <c r="C430" s="2" t="inlineStr">
        <is>
          <t>대출</t>
        </is>
      </c>
      <c r="D430" s="2" t="inlineStr">
        <is>
          <t>신용대출</t>
        </is>
      </c>
      <c r="E430" s="2" t="inlineStr">
        <is>
          <t>abstain_missing_field</t>
        </is>
      </c>
      <c r="F430" s="2" t="inlineStr">
        <is>
          <t>전북은행 '평생종합통장'의 한도 상한 금액을 공시에서 찾으면 얼마인가?</t>
        </is>
      </c>
      <c r="G430" s="2" t="inlineStr">
        <is>
          <t>abstain</t>
        </is>
      </c>
      <c r="H430" s="2" t="inlineStr">
        <is>
          <t>공시에 해당 정보 없음</t>
        </is>
      </c>
      <c r="I430" s="2" t="inlineStr"/>
      <c r="J430" s="2" t="inlineStr">
        <is>
          <t>금융감독원 금융상품통합비교공시 Open API (finlife.fss.or.kr), 202608</t>
        </is>
      </c>
      <c r="K430" s="2" t="inlineStr">
        <is>
          <t>전북은행:CR0001C:max_limit</t>
        </is>
      </c>
      <c r="L430" s="2" t="inlineStr">
        <is>
          <t>(공시값 없음)</t>
        </is>
      </c>
    </row>
    <row r="431">
      <c r="A431" s="2" t="inlineStr">
        <is>
          <t>PRD-0430</t>
        </is>
      </c>
      <c r="B431" s="2" t="inlineStr">
        <is>
          <t>공시형</t>
        </is>
      </c>
      <c r="C431" s="2" t="inlineStr">
        <is>
          <t>대출</t>
        </is>
      </c>
      <c r="D431" s="2" t="inlineStr">
        <is>
          <t>신용대출</t>
        </is>
      </c>
      <c r="E431" s="2" t="inlineStr">
        <is>
          <t>abstain_missing_field</t>
        </is>
      </c>
      <c r="F431" s="2" t="inlineStr">
        <is>
          <t>전북은행 '장기카드대출'의 공시된 최고 한도 금액은 얼마인가?</t>
        </is>
      </c>
      <c r="G431" s="2" t="inlineStr">
        <is>
          <t>abstain</t>
        </is>
      </c>
      <c r="H431" s="2" t="inlineStr">
        <is>
          <t>공시에 해당 정보 없음</t>
        </is>
      </c>
      <c r="I431" s="2" t="inlineStr"/>
      <c r="J431" s="2" t="inlineStr">
        <is>
          <t>금융감독원 금융상품통합비교공시 Open API (finlife.fss.or.kr), 202608</t>
        </is>
      </c>
      <c r="K431" s="2" t="inlineStr">
        <is>
          <t>전북은행:WR0002F:max_limit</t>
        </is>
      </c>
      <c r="L431" s="2" t="inlineStr">
        <is>
          <t>(공시값 없음)</t>
        </is>
      </c>
    </row>
    <row r="432">
      <c r="A432" s="2" t="inlineStr">
        <is>
          <t>PRD-0431</t>
        </is>
      </c>
      <c r="B432" s="2" t="inlineStr">
        <is>
          <t>공시형</t>
        </is>
      </c>
      <c r="C432" s="2" t="inlineStr">
        <is>
          <t>대출</t>
        </is>
      </c>
      <c r="D432" s="2" t="inlineStr">
        <is>
          <t>신용대출</t>
        </is>
      </c>
      <c r="E432" s="2" t="inlineStr">
        <is>
          <t>abstain_missing_field</t>
        </is>
      </c>
      <c r="F432" s="2" t="inlineStr">
        <is>
          <t>제주은행 '개인신용대출'의 공시된 최고 한도 금액은 얼마인가?</t>
        </is>
      </c>
      <c r="G432" s="2" t="inlineStr">
        <is>
          <t>abstain</t>
        </is>
      </c>
      <c r="H432" s="2" t="inlineStr">
        <is>
          <t>공시에 해당 정보 없음</t>
        </is>
      </c>
      <c r="I432" s="2" t="inlineStr"/>
      <c r="J432" s="2" t="inlineStr">
        <is>
          <t>금융감독원 금융상품통합비교공시 Open API (finlife.fss.or.kr), 202608</t>
        </is>
      </c>
      <c r="K432" s="2" t="inlineStr">
        <is>
          <t>제주은행:WR0001F:max_limit</t>
        </is>
      </c>
      <c r="L432" s="2" t="inlineStr">
        <is>
          <t>(공시값 없음)</t>
        </is>
      </c>
    </row>
    <row r="433">
      <c r="A433" s="2" t="inlineStr">
        <is>
          <t>PRD-0432</t>
        </is>
      </c>
      <c r="B433" s="2" t="inlineStr">
        <is>
          <t>공시형</t>
        </is>
      </c>
      <c r="C433" s="2" t="inlineStr">
        <is>
          <t>대출</t>
        </is>
      </c>
      <c r="D433" s="2" t="inlineStr">
        <is>
          <t>신용대출</t>
        </is>
      </c>
      <c r="E433" s="2" t="inlineStr">
        <is>
          <t>abstain_missing_field</t>
        </is>
      </c>
      <c r="F433" s="2" t="inlineStr">
        <is>
          <t>제주은행 '개인신용대출2'의 공시된 최고 한도 금액은 얼마인가?</t>
        </is>
      </c>
      <c r="G433" s="2" t="inlineStr">
        <is>
          <t>abstain</t>
        </is>
      </c>
      <c r="H433" s="2" t="inlineStr">
        <is>
          <t>공시에 해당 정보 없음</t>
        </is>
      </c>
      <c r="I433" s="2" t="inlineStr"/>
      <c r="J433" s="2" t="inlineStr">
        <is>
          <t>금융감독원 금융상품통합비교공시 Open API (finlife.fss.or.kr), 202608</t>
        </is>
      </c>
      <c r="K433" s="2" t="inlineStr">
        <is>
          <t>제주은행:WR0002F:max_limit</t>
        </is>
      </c>
      <c r="L433" s="2" t="inlineStr">
        <is>
          <t>(공시값 없음)</t>
        </is>
      </c>
    </row>
    <row r="434">
      <c r="A434" s="2" t="inlineStr">
        <is>
          <t>PRD-0433</t>
        </is>
      </c>
      <c r="B434" s="2" t="inlineStr">
        <is>
          <t>공시형</t>
        </is>
      </c>
      <c r="C434" s="2" t="inlineStr">
        <is>
          <t>대출</t>
        </is>
      </c>
      <c r="D434" s="2" t="inlineStr">
        <is>
          <t>신용대출</t>
        </is>
      </c>
      <c r="E434" s="2" t="inlineStr">
        <is>
          <t>abstain_missing_field</t>
        </is>
      </c>
      <c r="F434" s="2" t="inlineStr">
        <is>
          <t>주식회사 카카오뱅크 '일반신용대출'의 한도 상한 금액을 공시에서 찾으면 얼마인가?</t>
        </is>
      </c>
      <c r="G434" s="2" t="inlineStr">
        <is>
          <t>abstain</t>
        </is>
      </c>
      <c r="H434" s="2" t="inlineStr">
        <is>
          <t>공시에 해당 정보 없음</t>
        </is>
      </c>
      <c r="I434" s="2" t="inlineStr"/>
      <c r="J434" s="2" t="inlineStr">
        <is>
          <t>금융감독원 금융상품통합비교공시 Open API (finlife.fss.or.kr), 202608</t>
        </is>
      </c>
      <c r="K434" s="2" t="inlineStr">
        <is>
          <t>주식회사 카카오뱅크:030020001:max_limit</t>
        </is>
      </c>
      <c r="L434" s="2" t="inlineStr">
        <is>
          <t>(공시값 없음)</t>
        </is>
      </c>
    </row>
    <row r="435">
      <c r="A435" s="2" t="inlineStr">
        <is>
          <t>PRD-0434</t>
        </is>
      </c>
      <c r="B435" s="2" t="inlineStr">
        <is>
          <t>공시형</t>
        </is>
      </c>
      <c r="C435" s="2" t="inlineStr">
        <is>
          <t>대출</t>
        </is>
      </c>
      <c r="D435" s="2" t="inlineStr">
        <is>
          <t>신용대출</t>
        </is>
      </c>
      <c r="E435" s="2" t="inlineStr">
        <is>
          <t>abstain_missing_field</t>
        </is>
      </c>
      <c r="F435" s="2" t="inlineStr">
        <is>
          <t>주식회사 카카오뱅크 '마이너스한도대출'의 최고 한도는 공시에서 얼마로 확인되는가?</t>
        </is>
      </c>
      <c r="G435" s="2" t="inlineStr">
        <is>
          <t>abstain</t>
        </is>
      </c>
      <c r="H435" s="2" t="inlineStr">
        <is>
          <t>공시에 해당 정보 없음</t>
        </is>
      </c>
      <c r="I435" s="2" t="inlineStr"/>
      <c r="J435" s="2" t="inlineStr">
        <is>
          <t>금융감독원 금융상품통합비교공시 Open API (finlife.fss.or.kr), 202608</t>
        </is>
      </c>
      <c r="K435" s="2" t="inlineStr">
        <is>
          <t>주식회사 카카오뱅크:030020003:max_limit</t>
        </is>
      </c>
      <c r="L435" s="2" t="inlineStr">
        <is>
          <t>(공시값 없음)</t>
        </is>
      </c>
    </row>
    <row r="436">
      <c r="A436" s="2" t="inlineStr">
        <is>
          <t>PRD-0435</t>
        </is>
      </c>
      <c r="B436" s="2" t="inlineStr">
        <is>
          <t>공시형</t>
        </is>
      </c>
      <c r="C436" s="2" t="inlineStr">
        <is>
          <t>대출</t>
        </is>
      </c>
      <c r="D436" s="2" t="inlineStr">
        <is>
          <t>신용대출</t>
        </is>
      </c>
      <c r="E436" s="2" t="inlineStr">
        <is>
          <t>abstain_missing_field</t>
        </is>
      </c>
      <c r="F436" s="2" t="inlineStr">
        <is>
          <t>주식회사 케이뱅크 '신용대출'의 최고 한도는 공시에서 얼마로 확인되는가?</t>
        </is>
      </c>
      <c r="G436" s="2" t="inlineStr">
        <is>
          <t>abstain</t>
        </is>
      </c>
      <c r="H436" s="2" t="inlineStr">
        <is>
          <t>공시에 해당 정보 없음</t>
        </is>
      </c>
      <c r="I436" s="2" t="inlineStr"/>
      <c r="J436" s="2" t="inlineStr">
        <is>
          <t>금융감독원 금융상품통합비교공시 Open API (finlife.fss.or.kr), 202608</t>
        </is>
      </c>
      <c r="K436" s="2" t="inlineStr">
        <is>
          <t>주식회사 케이뱅크:010200010000000001:max_limit</t>
        </is>
      </c>
      <c r="L436" s="2" t="inlineStr">
        <is>
          <t>(공시값 없음)</t>
        </is>
      </c>
    </row>
    <row r="437">
      <c r="A437" s="2" t="inlineStr">
        <is>
          <t>PRD-0436</t>
        </is>
      </c>
      <c r="B437" s="2" t="inlineStr">
        <is>
          <t>공시형</t>
        </is>
      </c>
      <c r="C437" s="2" t="inlineStr">
        <is>
          <t>대출</t>
        </is>
      </c>
      <c r="D437" s="2" t="inlineStr">
        <is>
          <t>신용대출</t>
        </is>
      </c>
      <c r="E437" s="2" t="inlineStr">
        <is>
          <t>abstain_missing_field</t>
        </is>
      </c>
      <c r="F437" s="2" t="inlineStr">
        <is>
          <t>주식회사 케이뱅크 '마이너스 통장 대출'의 한도 상한 금액을 공시에서 찾으면 얼마인가?</t>
        </is>
      </c>
      <c r="G437" s="2" t="inlineStr">
        <is>
          <t>abstain</t>
        </is>
      </c>
      <c r="H437" s="2" t="inlineStr">
        <is>
          <t>공시에 해당 정보 없음</t>
        </is>
      </c>
      <c r="I437" s="2" t="inlineStr"/>
      <c r="J437" s="2" t="inlineStr">
        <is>
          <t>금융감독원 금융상품통합비교공시 Open API (finlife.fss.or.kr), 202608</t>
        </is>
      </c>
      <c r="K437" s="2" t="inlineStr">
        <is>
          <t>주식회사 케이뱅크:010200040000000001:max_limit</t>
        </is>
      </c>
      <c r="L437" s="2" t="inlineStr">
        <is>
          <t>(공시값 없음)</t>
        </is>
      </c>
    </row>
    <row r="438">
      <c r="A438" s="2" t="inlineStr">
        <is>
          <t>PRD-0437</t>
        </is>
      </c>
      <c r="B438" s="2" t="inlineStr">
        <is>
          <t>공시형</t>
        </is>
      </c>
      <c r="C438" s="2" t="inlineStr">
        <is>
          <t>대출</t>
        </is>
      </c>
      <c r="D438" s="2" t="inlineStr">
        <is>
          <t>신용대출</t>
        </is>
      </c>
      <c r="E438" s="2" t="inlineStr">
        <is>
          <t>abstain_missing_field</t>
        </is>
      </c>
      <c r="F438" s="2" t="inlineStr">
        <is>
          <t>주식회사 하나은행 '일반신용대출'의 공시된 최고 한도 금액은 얼마인가?</t>
        </is>
      </c>
      <c r="G438" s="2" t="inlineStr">
        <is>
          <t>abstain</t>
        </is>
      </c>
      <c r="H438" s="2" t="inlineStr">
        <is>
          <t>공시에 해당 정보 없음</t>
        </is>
      </c>
      <c r="I438" s="2" t="inlineStr"/>
      <c r="J438" s="2" t="inlineStr">
        <is>
          <t>금융감독원 금융상품통합비교공시 Open API (finlife.fss.or.kr), 202608</t>
        </is>
      </c>
      <c r="K438" s="2" t="inlineStr">
        <is>
          <t>주식회사 하나은행:1:max_limit</t>
        </is>
      </c>
      <c r="L438" s="2" t="inlineStr">
        <is>
          <t>(공시값 없음)</t>
        </is>
      </c>
    </row>
    <row r="439">
      <c r="A439" s="2" t="inlineStr">
        <is>
          <t>PRD-0438</t>
        </is>
      </c>
      <c r="B439" s="2" t="inlineStr">
        <is>
          <t>공시형</t>
        </is>
      </c>
      <c r="C439" s="2" t="inlineStr">
        <is>
          <t>대출</t>
        </is>
      </c>
      <c r="D439" s="2" t="inlineStr">
        <is>
          <t>신용대출</t>
        </is>
      </c>
      <c r="E439" s="2" t="inlineStr">
        <is>
          <t>abstain_missing_field</t>
        </is>
      </c>
      <c r="F439" s="2" t="inlineStr">
        <is>
          <t>주식회사 하나은행 '마이너스한도대출'의 한도 상한 금액을 공시에서 찾으면 얼마인가?</t>
        </is>
      </c>
      <c r="G439" s="2" t="inlineStr">
        <is>
          <t>abstain</t>
        </is>
      </c>
      <c r="H439" s="2" t="inlineStr">
        <is>
          <t>공시에 해당 정보 없음</t>
        </is>
      </c>
      <c r="I439" s="2" t="inlineStr"/>
      <c r="J439" s="2" t="inlineStr">
        <is>
          <t>금융감독원 금융상품통합비교공시 Open API (finlife.fss.or.kr), 202608</t>
        </is>
      </c>
      <c r="K439" s="2" t="inlineStr">
        <is>
          <t>주식회사 하나은행:3:max_limit</t>
        </is>
      </c>
      <c r="L439" s="2" t="inlineStr">
        <is>
          <t>(공시값 없음)</t>
        </is>
      </c>
    </row>
    <row r="440">
      <c r="A440" s="2" t="inlineStr">
        <is>
          <t>PRD-0439</t>
        </is>
      </c>
      <c r="B440" s="2" t="inlineStr">
        <is>
          <t>공시형</t>
        </is>
      </c>
      <c r="C440" s="2" t="inlineStr">
        <is>
          <t>대출</t>
        </is>
      </c>
      <c r="D440" s="2" t="inlineStr">
        <is>
          <t>신용대출</t>
        </is>
      </c>
      <c r="E440" s="2" t="inlineStr">
        <is>
          <t>abstain_missing_field</t>
        </is>
      </c>
      <c r="F440" s="2" t="inlineStr">
        <is>
          <t>중소기업은행 '일반신용 대출'의 최고 한도는 공시에서 얼마로 확인되는가?</t>
        </is>
      </c>
      <c r="G440" s="2" t="inlineStr">
        <is>
          <t>abstain</t>
        </is>
      </c>
      <c r="H440" s="2" t="inlineStr">
        <is>
          <t>공시에 해당 정보 없음</t>
        </is>
      </c>
      <c r="I440" s="2" t="inlineStr"/>
      <c r="J440" s="2" t="inlineStr">
        <is>
          <t>금융감독원 금융상품통합비교공시 Open API (finlife.fss.or.kr), 202608</t>
        </is>
      </c>
      <c r="K440" s="2" t="inlineStr">
        <is>
          <t>중소기업은행:21:max_limit</t>
        </is>
      </c>
      <c r="L440" s="2" t="inlineStr">
        <is>
          <t>(공시값 없음)</t>
        </is>
      </c>
    </row>
    <row r="441">
      <c r="A441" s="2" t="inlineStr">
        <is>
          <t>PRD-0440</t>
        </is>
      </c>
      <c r="B441" s="2" t="inlineStr">
        <is>
          <t>공시형</t>
        </is>
      </c>
      <c r="C441" s="2" t="inlineStr">
        <is>
          <t>대출</t>
        </is>
      </c>
      <c r="D441" s="2" t="inlineStr">
        <is>
          <t>신용대출</t>
        </is>
      </c>
      <c r="E441" s="2" t="inlineStr">
        <is>
          <t>abstain_missing_field</t>
        </is>
      </c>
      <c r="F441" s="2" t="inlineStr">
        <is>
          <t>중소기업은행 '마이너스 한도대출'의 한도 상한 금액을 공시에서 찾으면 얼마인가?</t>
        </is>
      </c>
      <c r="G441" s="2" t="inlineStr">
        <is>
          <t>abstain</t>
        </is>
      </c>
      <c r="H441" s="2" t="inlineStr">
        <is>
          <t>공시에 해당 정보 없음</t>
        </is>
      </c>
      <c r="I441" s="2" t="inlineStr"/>
      <c r="J441" s="2" t="inlineStr">
        <is>
          <t>금융감독원 금융상품통합비교공시 Open API (finlife.fss.or.kr), 202608</t>
        </is>
      </c>
      <c r="K441" s="2" t="inlineStr">
        <is>
          <t>중소기업은행:31:max_limit</t>
        </is>
      </c>
      <c r="L441" s="2" t="inlineStr">
        <is>
          <t>(공시값 없음)</t>
        </is>
      </c>
    </row>
    <row r="442">
      <c r="A442" s="2" t="inlineStr">
        <is>
          <t>PRD-0441</t>
        </is>
      </c>
      <c r="B442" s="2" t="inlineStr">
        <is>
          <t>공시형</t>
        </is>
      </c>
      <c r="C442" s="2" t="inlineStr">
        <is>
          <t>대출</t>
        </is>
      </c>
      <c r="D442" s="2" t="inlineStr">
        <is>
          <t>신용대출</t>
        </is>
      </c>
      <c r="E442" s="2" t="inlineStr">
        <is>
          <t>abstain_missing_field</t>
        </is>
      </c>
      <c r="F442" s="2" t="inlineStr">
        <is>
          <t>중소기업은행 '장기카드대출'의 공시된 최고 한도 금액은 얼마인가?</t>
        </is>
      </c>
      <c r="G442" s="2" t="inlineStr">
        <is>
          <t>abstain</t>
        </is>
      </c>
      <c r="H442" s="2" t="inlineStr">
        <is>
          <t>공시에 해당 정보 없음</t>
        </is>
      </c>
      <c r="I442" s="2" t="inlineStr"/>
      <c r="J442" s="2" t="inlineStr">
        <is>
          <t>금융감독원 금융상품통합비교공시 Open API (finlife.fss.or.kr), 202608</t>
        </is>
      </c>
      <c r="K442" s="2" t="inlineStr">
        <is>
          <t>중소기업은행:WR0002F:max_limit</t>
        </is>
      </c>
      <c r="L442" s="2" t="inlineStr">
        <is>
          <t>(공시값 없음)</t>
        </is>
      </c>
    </row>
    <row r="443">
      <c r="A443" s="2" t="inlineStr">
        <is>
          <t>PRD-0442</t>
        </is>
      </c>
      <c r="B443" s="2" t="inlineStr">
        <is>
          <t>공시형</t>
        </is>
      </c>
      <c r="C443" s="2" t="inlineStr">
        <is>
          <t>대출</t>
        </is>
      </c>
      <c r="D443" s="2" t="inlineStr">
        <is>
          <t>신용대출</t>
        </is>
      </c>
      <c r="E443" s="2" t="inlineStr">
        <is>
          <t>abstain_missing_field</t>
        </is>
      </c>
      <c r="F443" s="2" t="inlineStr">
        <is>
          <t>토스뱅크 주식회사 '토스뱅크 마이너스 통장대출'의 최고 한도는 공시에서 얼마로 확인되는가?</t>
        </is>
      </c>
      <c r="G443" s="2" t="inlineStr">
        <is>
          <t>abstain</t>
        </is>
      </c>
      <c r="H443" s="2" t="inlineStr">
        <is>
          <t>공시에 해당 정보 없음</t>
        </is>
      </c>
      <c r="I443" s="2" t="inlineStr"/>
      <c r="J443" s="2" t="inlineStr">
        <is>
          <t>금융감독원 금융상품통합비교공시 Open API (finlife.fss.or.kr), 202608</t>
        </is>
      </c>
      <c r="K443" s="2" t="inlineStr">
        <is>
          <t>토스뱅크 주식회사:20-01-03-021-0001:max_limit</t>
        </is>
      </c>
      <c r="L443" s="2" t="inlineStr">
        <is>
          <t>(공시값 없음)</t>
        </is>
      </c>
    </row>
    <row r="444">
      <c r="A444" s="2" t="inlineStr">
        <is>
          <t>PRD-0443</t>
        </is>
      </c>
      <c r="B444" s="2" t="inlineStr">
        <is>
          <t>공시형</t>
        </is>
      </c>
      <c r="C444" s="2" t="inlineStr">
        <is>
          <t>대출</t>
        </is>
      </c>
      <c r="D444" s="2" t="inlineStr">
        <is>
          <t>신용대출</t>
        </is>
      </c>
      <c r="E444" s="2" t="inlineStr">
        <is>
          <t>abstain_missing_field</t>
        </is>
      </c>
      <c r="F444" s="2" t="inlineStr">
        <is>
          <t>토스뱅크 주식회사 '토스뱅크 신용대출'의 한도 상한 금액을 공시에서 찾으면 얼마인가?</t>
        </is>
      </c>
      <c r="G444" s="2" t="inlineStr">
        <is>
          <t>abstain</t>
        </is>
      </c>
      <c r="H444" s="2" t="inlineStr">
        <is>
          <t>공시에 해당 정보 없음</t>
        </is>
      </c>
      <c r="I444" s="2" t="inlineStr"/>
      <c r="J444" s="2" t="inlineStr">
        <is>
          <t>금융감독원 금융상품통합비교공시 Open API (finlife.fss.or.kr), 202608</t>
        </is>
      </c>
      <c r="K444" s="2" t="inlineStr">
        <is>
          <t>토스뱅크 주식회사:20-01-03-311-0001:max_limit</t>
        </is>
      </c>
      <c r="L444" s="2" t="inlineStr">
        <is>
          <t>(공시값 없음)</t>
        </is>
      </c>
    </row>
    <row r="445">
      <c r="A445" s="2" t="inlineStr">
        <is>
          <t>PRD-0444</t>
        </is>
      </c>
      <c r="B445" s="2" t="inlineStr">
        <is>
          <t>공시형</t>
        </is>
      </c>
      <c r="C445" s="2" t="inlineStr">
        <is>
          <t>대출</t>
        </is>
      </c>
      <c r="D445" s="2" t="inlineStr">
        <is>
          <t>신용대출</t>
        </is>
      </c>
      <c r="E445" s="2" t="inlineStr">
        <is>
          <t>abstain_missing_field</t>
        </is>
      </c>
      <c r="F445" s="2" t="inlineStr">
        <is>
          <t>한국산업은행 '개인신용대출(신규대출취급중단)'의 공시된 최고 한도 금액은 얼마인가?</t>
        </is>
      </c>
      <c r="G445" s="2" t="inlineStr">
        <is>
          <t>abstain</t>
        </is>
      </c>
      <c r="H445" s="2" t="inlineStr">
        <is>
          <t>공시에 해당 정보 없음</t>
        </is>
      </c>
      <c r="I445" s="2" t="inlineStr"/>
      <c r="J445" s="2" t="inlineStr">
        <is>
          <t>금융감독원 금융상품통합비교공시 Open API (finlife.fss.or.kr), 202608</t>
        </is>
      </c>
      <c r="K445" s="2" t="inlineStr">
        <is>
          <t>한국산업은행:1:max_limit</t>
        </is>
      </c>
      <c r="L445" s="2" t="inlineStr">
        <is>
          <t>(공시값 없음)</t>
        </is>
      </c>
    </row>
    <row r="446">
      <c r="A446" s="2" t="inlineStr">
        <is>
          <t>PRD-0445</t>
        </is>
      </c>
      <c r="B446" s="2" t="inlineStr">
        <is>
          <t>공시형</t>
        </is>
      </c>
      <c r="C446" s="2" t="inlineStr">
        <is>
          <t>대출</t>
        </is>
      </c>
      <c r="D446" s="2" t="inlineStr">
        <is>
          <t>신용대출</t>
        </is>
      </c>
      <c r="E446" s="2" t="inlineStr">
        <is>
          <t>abstain_missing_field</t>
        </is>
      </c>
      <c r="F446" s="2" t="inlineStr">
        <is>
          <t>한국산업은행 '개인신용대출'의 최고 한도는 공시에서 얼마로 확인되는가?</t>
        </is>
      </c>
      <c r="G446" s="2" t="inlineStr">
        <is>
          <t>abstain</t>
        </is>
      </c>
      <c r="H446" s="2" t="inlineStr">
        <is>
          <t>공시에 해당 정보 없음</t>
        </is>
      </c>
      <c r="I446" s="2" t="inlineStr"/>
      <c r="J446" s="2" t="inlineStr">
        <is>
          <t>금융감독원 금융상품통합비교공시 Open API (finlife.fss.or.kr), 202608</t>
        </is>
      </c>
      <c r="K446" s="2" t="inlineStr">
        <is>
          <t>한국산업은행:2:max_limit</t>
        </is>
      </c>
      <c r="L446" s="2" t="inlineStr">
        <is>
          <t>(공시값 없음)</t>
        </is>
      </c>
    </row>
    <row r="447">
      <c r="A447" s="2" t="inlineStr">
        <is>
          <t>PRD-0446</t>
        </is>
      </c>
      <c r="B447" s="2" t="inlineStr">
        <is>
          <t>공시형</t>
        </is>
      </c>
      <c r="C447" s="2" t="inlineStr">
        <is>
          <t>대출</t>
        </is>
      </c>
      <c r="D447" s="2" t="inlineStr">
        <is>
          <t>신용대출</t>
        </is>
      </c>
      <c r="E447" s="2" t="inlineStr">
        <is>
          <t>abstain_missing_field</t>
        </is>
      </c>
      <c r="F447" s="2" t="inlineStr">
        <is>
          <t>한국스탠다드차타드은행 '개인신용대출(일반신용대출)'의 공시된 최고 한도 금액은 얼마인가?</t>
        </is>
      </c>
      <c r="G447" s="2" t="inlineStr">
        <is>
          <t>abstain</t>
        </is>
      </c>
      <c r="H447" s="2" t="inlineStr">
        <is>
          <t>공시에 해당 정보 없음</t>
        </is>
      </c>
      <c r="I447" s="2" t="inlineStr"/>
      <c r="J447" s="2" t="inlineStr">
        <is>
          <t>금융감독원 금융상품통합비교공시 Open API (finlife.fss.or.kr), 202608</t>
        </is>
      </c>
      <c r="K447" s="2" t="inlineStr">
        <is>
          <t>한국스탠다드차타드은행:SC001217:max_limit</t>
        </is>
      </c>
      <c r="L447" s="2" t="inlineStr">
        <is>
          <t>(공시값 없음)</t>
        </is>
      </c>
    </row>
    <row r="448">
      <c r="A448" s="2" t="inlineStr">
        <is>
          <t>PRD-0447</t>
        </is>
      </c>
      <c r="B448" s="2" t="inlineStr">
        <is>
          <t>공시형</t>
        </is>
      </c>
      <c r="C448" s="2" t="inlineStr">
        <is>
          <t>대출</t>
        </is>
      </c>
      <c r="D448" s="2" t="inlineStr">
        <is>
          <t>신용대출</t>
        </is>
      </c>
      <c r="E448" s="2" t="inlineStr">
        <is>
          <t>abstain_missing_field</t>
        </is>
      </c>
      <c r="F448" s="2" t="inlineStr">
        <is>
          <t>한국스탠다드차타드은행 '개인신용대출(마이너스한도대출)'의 공시된 최고 한도 금액은 얼마인가?</t>
        </is>
      </c>
      <c r="G448" s="2" t="inlineStr">
        <is>
          <t>abstain</t>
        </is>
      </c>
      <c r="H448" s="2" t="inlineStr">
        <is>
          <t>공시에 해당 정보 없음</t>
        </is>
      </c>
      <c r="I448" s="2" t="inlineStr"/>
      <c r="J448" s="2" t="inlineStr">
        <is>
          <t>금융감독원 금융상품통합비교공시 Open API (finlife.fss.or.kr), 202608</t>
        </is>
      </c>
      <c r="K448" s="2" t="inlineStr">
        <is>
          <t>한국스탠다드차타드은행:SC001217_1:max_limit</t>
        </is>
      </c>
      <c r="L448" s="2" t="inlineStr">
        <is>
          <t>(공시값 없음)</t>
        </is>
      </c>
    </row>
    <row r="449">
      <c r="A449" s="2" t="inlineStr">
        <is>
          <t>PRD-0448</t>
        </is>
      </c>
      <c r="B449" s="2" t="inlineStr">
        <is>
          <t>공시형</t>
        </is>
      </c>
      <c r="C449" s="2" t="inlineStr">
        <is>
          <t>대출</t>
        </is>
      </c>
      <c r="D449" s="2" t="inlineStr">
        <is>
          <t>신용대출</t>
        </is>
      </c>
      <c r="E449" s="2" t="inlineStr">
        <is>
          <t>abstain_missing_field</t>
        </is>
      </c>
      <c r="F449" s="2" t="inlineStr">
        <is>
          <t>한국씨티은행 '장기카드대출'의 공시된 최고 한도 금액은 얼마인가?</t>
        </is>
      </c>
      <c r="G449" s="2" t="inlineStr">
        <is>
          <t>abstain</t>
        </is>
      </c>
      <c r="H449" s="2" t="inlineStr">
        <is>
          <t>공시에 해당 정보 없음</t>
        </is>
      </c>
      <c r="I449" s="2" t="inlineStr"/>
      <c r="J449" s="2" t="inlineStr">
        <is>
          <t>금융감독원 금융상품통합비교공시 Open API (finlife.fss.or.kr), 202608</t>
        </is>
      </c>
      <c r="K449" s="2" t="inlineStr">
        <is>
          <t>한국씨티은행:WR0002F:max_limit</t>
        </is>
      </c>
      <c r="L449" s="2" t="inlineStr">
        <is>
          <t>(공시값 없음)</t>
        </is>
      </c>
    </row>
    <row r="450">
      <c r="A450" s="2" t="inlineStr">
        <is>
          <t>PRD-0449</t>
        </is>
      </c>
      <c r="B450" s="2" t="inlineStr">
        <is>
          <t>공시형</t>
        </is>
      </c>
      <c r="C450" s="2" t="inlineStr">
        <is>
          <t>예금</t>
        </is>
      </c>
      <c r="D450" s="2" t="inlineStr">
        <is>
          <t>정기예금</t>
        </is>
      </c>
      <c r="E450" s="2" t="inlineStr">
        <is>
          <t>abstain_missing_field</t>
        </is>
      </c>
      <c r="F450" s="2" t="inlineStr">
        <is>
          <t>광주은행 '스마트모아Dream정기예금'의 한도 상한 금액을 공시에서 찾으면 얼마인가?</t>
        </is>
      </c>
      <c r="G450" s="2" t="inlineStr">
        <is>
          <t>abstain</t>
        </is>
      </c>
      <c r="H450" s="2" t="inlineStr">
        <is>
          <t>공시에 해당 정보 없음</t>
        </is>
      </c>
      <c r="I450" s="2" t="inlineStr"/>
      <c r="J450" s="2" t="inlineStr">
        <is>
          <t>금융감독원 금융상품통합비교공시 Open API (finlife.fss.or.kr), 202608</t>
        </is>
      </c>
      <c r="K450" s="2" t="inlineStr">
        <is>
          <t>광주은행:TD11300031000:max_limit</t>
        </is>
      </c>
      <c r="L450" s="2" t="inlineStr">
        <is>
          <t>(공시값 없음)</t>
        </is>
      </c>
    </row>
    <row r="451">
      <c r="A451" s="2" t="inlineStr">
        <is>
          <t>PRD-0450</t>
        </is>
      </c>
      <c r="B451" s="2" t="inlineStr">
        <is>
          <t>공시형</t>
        </is>
      </c>
      <c r="C451" s="2" t="inlineStr">
        <is>
          <t>예금</t>
        </is>
      </c>
      <c r="D451" s="2" t="inlineStr">
        <is>
          <t>정기예금</t>
        </is>
      </c>
      <c r="E451" s="2" t="inlineStr">
        <is>
          <t>abstain_missing_field</t>
        </is>
      </c>
      <c r="F451" s="2" t="inlineStr">
        <is>
          <t>국민은행 'KB Star 정기예금'의 최고 한도는 공시에서 얼마로 확인되는가?</t>
        </is>
      </c>
      <c r="G451" s="2" t="inlineStr">
        <is>
          <t>abstain</t>
        </is>
      </c>
      <c r="H451" s="2" t="inlineStr">
        <is>
          <t>공시에 해당 정보 없음</t>
        </is>
      </c>
      <c r="I451" s="2" t="inlineStr"/>
      <c r="J451" s="2" t="inlineStr">
        <is>
          <t>금융감독원 금융상품통합비교공시 Open API (finlife.fss.or.kr), 202608</t>
        </is>
      </c>
      <c r="K451" s="2" t="inlineStr">
        <is>
          <t>국민은행:010300100335:max_limit</t>
        </is>
      </c>
      <c r="L451" s="2" t="inlineStr">
        <is>
          <t>(공시값 없음)</t>
        </is>
      </c>
    </row>
    <row r="452">
      <c r="A452" s="2" t="inlineStr">
        <is>
          <t>PRD-0451</t>
        </is>
      </c>
      <c r="B452" s="2" t="inlineStr">
        <is>
          <t>공시형</t>
        </is>
      </c>
      <c r="C452" s="2" t="inlineStr">
        <is>
          <t>예금</t>
        </is>
      </c>
      <c r="D452" s="2" t="inlineStr">
        <is>
          <t>정기예금</t>
        </is>
      </c>
      <c r="E452" s="2" t="inlineStr">
        <is>
          <t>abstain_missing_field</t>
        </is>
      </c>
      <c r="F452" s="2" t="inlineStr">
        <is>
          <t>농협은행주식회사 'NH왈츠회전예금 II'의 최고 한도는 공시에서 얼마로 확인되는가?</t>
        </is>
      </c>
      <c r="G452" s="2" t="inlineStr">
        <is>
          <t>abstain</t>
        </is>
      </c>
      <c r="H452" s="2" t="inlineStr">
        <is>
          <t>공시에 해당 정보 없음</t>
        </is>
      </c>
      <c r="I452" s="2" t="inlineStr"/>
      <c r="J452" s="2" t="inlineStr">
        <is>
          <t>금융감독원 금융상품통합비교공시 Open API (finlife.fss.or.kr), 202608</t>
        </is>
      </c>
      <c r="K452" s="2" t="inlineStr">
        <is>
          <t>농협은행주식회사:10-003-1225-0001:max_limit</t>
        </is>
      </c>
      <c r="L452" s="2" t="inlineStr">
        <is>
          <t>(공시값 없음)</t>
        </is>
      </c>
    </row>
    <row r="453">
      <c r="A453" s="2" t="inlineStr">
        <is>
          <t>PRD-0452</t>
        </is>
      </c>
      <c r="B453" s="2" t="inlineStr">
        <is>
          <t>공시형</t>
        </is>
      </c>
      <c r="C453" s="2" t="inlineStr">
        <is>
          <t>예금</t>
        </is>
      </c>
      <c r="D453" s="2" t="inlineStr">
        <is>
          <t>정기예금</t>
        </is>
      </c>
      <c r="E453" s="2" t="inlineStr">
        <is>
          <t>abstain_missing_field</t>
        </is>
      </c>
      <c r="F453" s="2" t="inlineStr">
        <is>
          <t>농협은행주식회사 'NH내가Green초록세상예금'의 공시된 최고 한도 금액은 얼마인가?</t>
        </is>
      </c>
      <c r="G453" s="2" t="inlineStr">
        <is>
          <t>abstain</t>
        </is>
      </c>
      <c r="H453" s="2" t="inlineStr">
        <is>
          <t>공시에 해당 정보 없음</t>
        </is>
      </c>
      <c r="I453" s="2" t="inlineStr"/>
      <c r="J453" s="2" t="inlineStr">
        <is>
          <t>금융감독원 금융상품통합비교공시 Open API (finlife.fss.or.kr), 202608</t>
        </is>
      </c>
      <c r="K453" s="2" t="inlineStr">
        <is>
          <t>농협은행주식회사:10-003-1381-0001:max_limit</t>
        </is>
      </c>
      <c r="L453" s="2" t="inlineStr">
        <is>
          <t>(공시값 없음)</t>
        </is>
      </c>
    </row>
    <row r="454">
      <c r="A454" s="2" t="inlineStr">
        <is>
          <t>PRD-0453</t>
        </is>
      </c>
      <c r="B454" s="2" t="inlineStr">
        <is>
          <t>공시형</t>
        </is>
      </c>
      <c r="C454" s="2" t="inlineStr">
        <is>
          <t>예금</t>
        </is>
      </c>
      <c r="D454" s="2" t="inlineStr">
        <is>
          <t>정기예금</t>
        </is>
      </c>
      <c r="E454" s="2" t="inlineStr">
        <is>
          <t>abstain_missing_field</t>
        </is>
      </c>
      <c r="F454" s="2" t="inlineStr">
        <is>
          <t>농협은행주식회사 'NH고향사랑기부예금'의 공시된 최고 한도 금액은 얼마인가?</t>
        </is>
      </c>
      <c r="G454" s="2" t="inlineStr">
        <is>
          <t>abstain</t>
        </is>
      </c>
      <c r="H454" s="2" t="inlineStr">
        <is>
          <t>공시에 해당 정보 없음</t>
        </is>
      </c>
      <c r="I454" s="2" t="inlineStr"/>
      <c r="J454" s="2" t="inlineStr">
        <is>
          <t>금융감독원 금융상품통합비교공시 Open API (finlife.fss.or.kr), 202608</t>
        </is>
      </c>
      <c r="K454" s="2" t="inlineStr">
        <is>
          <t>농협은행주식회사:10-003-1387-0001:max_limit</t>
        </is>
      </c>
      <c r="L454" s="2" t="inlineStr">
        <is>
          <t>(공시값 없음)</t>
        </is>
      </c>
    </row>
    <row r="455">
      <c r="A455" s="2" t="inlineStr">
        <is>
          <t>PRD-0454</t>
        </is>
      </c>
      <c r="B455" s="2" t="inlineStr">
        <is>
          <t>공시형</t>
        </is>
      </c>
      <c r="C455" s="2" t="inlineStr">
        <is>
          <t>예금</t>
        </is>
      </c>
      <c r="D455" s="2" t="inlineStr">
        <is>
          <t>정기예금</t>
        </is>
      </c>
      <c r="E455" s="2" t="inlineStr">
        <is>
          <t>abstain_missing_field</t>
        </is>
      </c>
      <c r="F455" s="2" t="inlineStr">
        <is>
          <t>부산은행 'LIVE정기예금'의 공시된 최고 한도 금액은 얼마인가?</t>
        </is>
      </c>
      <c r="G455" s="2" t="inlineStr">
        <is>
          <t>abstain</t>
        </is>
      </c>
      <c r="H455" s="2" t="inlineStr">
        <is>
          <t>공시에 해당 정보 없음</t>
        </is>
      </c>
      <c r="I455" s="2" t="inlineStr"/>
      <c r="J455" s="2" t="inlineStr">
        <is>
          <t>금융감독원 금융상품통합비교공시 Open API (finlife.fss.or.kr), 202608</t>
        </is>
      </c>
      <c r="K455" s="2" t="inlineStr">
        <is>
          <t>부산은행:01030500510002:max_limit</t>
        </is>
      </c>
      <c r="L455" s="2" t="inlineStr">
        <is>
          <t>(공시값 없음)</t>
        </is>
      </c>
    </row>
    <row r="456">
      <c r="A456" s="2" t="inlineStr">
        <is>
          <t>PRD-0455</t>
        </is>
      </c>
      <c r="B456" s="2" t="inlineStr">
        <is>
          <t>공시형</t>
        </is>
      </c>
      <c r="C456" s="2" t="inlineStr">
        <is>
          <t>예금</t>
        </is>
      </c>
      <c r="D456" s="2" t="inlineStr">
        <is>
          <t>정기예금</t>
        </is>
      </c>
      <c r="E456" s="2" t="inlineStr">
        <is>
          <t>abstain_missing_field</t>
        </is>
      </c>
      <c r="F456" s="2" t="inlineStr">
        <is>
          <t>부산은행 '더(The) 특판 정기예금'의 공시된 최고 한도 금액은 얼마인가?</t>
        </is>
      </c>
      <c r="G456" s="2" t="inlineStr">
        <is>
          <t>abstain</t>
        </is>
      </c>
      <c r="H456" s="2" t="inlineStr">
        <is>
          <t>공시에 해당 정보 없음</t>
        </is>
      </c>
      <c r="I456" s="2" t="inlineStr"/>
      <c r="J456" s="2" t="inlineStr">
        <is>
          <t>금융감독원 금융상품통합비교공시 Open API (finlife.fss.or.kr), 202608</t>
        </is>
      </c>
      <c r="K456" s="2" t="inlineStr">
        <is>
          <t>부산은행:01030500560002:max_limit</t>
        </is>
      </c>
      <c r="L456" s="2" t="inlineStr">
        <is>
          <t>(공시값 없음)</t>
        </is>
      </c>
    </row>
    <row r="457">
      <c r="A457" s="2" t="inlineStr">
        <is>
          <t>PRD-0456</t>
        </is>
      </c>
      <c r="B457" s="2" t="inlineStr">
        <is>
          <t>공시형</t>
        </is>
      </c>
      <c r="C457" s="2" t="inlineStr">
        <is>
          <t>예금</t>
        </is>
      </c>
      <c r="D457" s="2" t="inlineStr">
        <is>
          <t>정기예금</t>
        </is>
      </c>
      <c r="E457" s="2" t="inlineStr">
        <is>
          <t>abstain_missing_field</t>
        </is>
      </c>
      <c r="F457" s="2" t="inlineStr">
        <is>
          <t>부산은행 '더(The) 레벨업 정기예금'의 최고 한도는 공시에서 얼마로 확인되는가?</t>
        </is>
      </c>
      <c r="G457" s="2" t="inlineStr">
        <is>
          <t>abstain</t>
        </is>
      </c>
      <c r="H457" s="2" t="inlineStr">
        <is>
          <t>공시에 해당 정보 없음</t>
        </is>
      </c>
      <c r="I457" s="2" t="inlineStr"/>
      <c r="J457" s="2" t="inlineStr">
        <is>
          <t>금융감독원 금융상품통합비교공시 Open API (finlife.fss.or.kr), 202608</t>
        </is>
      </c>
      <c r="K457" s="2" t="inlineStr">
        <is>
          <t>부산은행:01030500600002:max_limit</t>
        </is>
      </c>
      <c r="L457" s="2" t="inlineStr">
        <is>
          <t>(공시값 없음)</t>
        </is>
      </c>
    </row>
    <row r="458">
      <c r="A458" s="2" t="inlineStr">
        <is>
          <t>PRD-0457</t>
        </is>
      </c>
      <c r="B458" s="2" t="inlineStr">
        <is>
          <t>공시형</t>
        </is>
      </c>
      <c r="C458" s="2" t="inlineStr">
        <is>
          <t>예금</t>
        </is>
      </c>
      <c r="D458" s="2" t="inlineStr">
        <is>
          <t>정기예금</t>
        </is>
      </c>
      <c r="E458" s="2" t="inlineStr">
        <is>
          <t>abstain_missing_field</t>
        </is>
      </c>
      <c r="F458" s="2" t="inlineStr">
        <is>
          <t>신한은행 '쏠편한 정기예금'의 최고 한도는 공시에서 얼마로 확인되는가?</t>
        </is>
      </c>
      <c r="G458" s="2" t="inlineStr">
        <is>
          <t>abstain</t>
        </is>
      </c>
      <c r="H458" s="2" t="inlineStr">
        <is>
          <t>공시에 해당 정보 없음</t>
        </is>
      </c>
      <c r="I458" s="2" t="inlineStr"/>
      <c r="J458" s="2" t="inlineStr">
        <is>
          <t>금융감독원 금융상품통합비교공시 Open API (finlife.fss.or.kr), 202608</t>
        </is>
      </c>
      <c r="K458" s="2" t="inlineStr">
        <is>
          <t>신한은행:207-0135-12:max_limit</t>
        </is>
      </c>
      <c r="L458" s="2" t="inlineStr">
        <is>
          <t>(공시값 없음)</t>
        </is>
      </c>
    </row>
    <row r="459">
      <c r="A459" s="2" t="inlineStr">
        <is>
          <t>PRD-0458</t>
        </is>
      </c>
      <c r="B459" s="2" t="inlineStr">
        <is>
          <t>공시형</t>
        </is>
      </c>
      <c r="C459" s="2" t="inlineStr">
        <is>
          <t>예금</t>
        </is>
      </c>
      <c r="D459" s="2" t="inlineStr">
        <is>
          <t>정기예금</t>
        </is>
      </c>
      <c r="E459" s="2" t="inlineStr">
        <is>
          <t>abstain_missing_field</t>
        </is>
      </c>
      <c r="F459" s="2" t="inlineStr">
        <is>
          <t>아이엠뱅크 'iM함께예금'의 한도 상한 금액을 공시에서 찾으면 얼마인가?</t>
        </is>
      </c>
      <c r="G459" s="2" t="inlineStr">
        <is>
          <t>abstain</t>
        </is>
      </c>
      <c r="H459" s="2" t="inlineStr">
        <is>
          <t>공시에 해당 정보 없음</t>
        </is>
      </c>
      <c r="I459" s="2" t="inlineStr"/>
      <c r="J459" s="2" t="inlineStr">
        <is>
          <t>금융감독원 금융상품통합비교공시 Open API (finlife.fss.or.kr), 202608</t>
        </is>
      </c>
      <c r="K459" s="2" t="inlineStr">
        <is>
          <t>아이엠뱅크:10511008001166004:max_limit</t>
        </is>
      </c>
      <c r="L459" s="2" t="inlineStr">
        <is>
          <t>(공시값 없음)</t>
        </is>
      </c>
    </row>
    <row r="460">
      <c r="A460" s="2" t="inlineStr">
        <is>
          <t>PRD-0459</t>
        </is>
      </c>
      <c r="B460" s="2" t="inlineStr">
        <is>
          <t>공시형</t>
        </is>
      </c>
      <c r="C460" s="2" t="inlineStr">
        <is>
          <t>예금</t>
        </is>
      </c>
      <c r="D460" s="2" t="inlineStr">
        <is>
          <t>정기예금</t>
        </is>
      </c>
      <c r="E460" s="2" t="inlineStr">
        <is>
          <t>abstain_missing_field</t>
        </is>
      </c>
      <c r="F460" s="2" t="inlineStr">
        <is>
          <t>아이엠뱅크 'iM스마트예금'의 공시된 최고 한도 금액은 얼마인가?</t>
        </is>
      </c>
      <c r="G460" s="2" t="inlineStr">
        <is>
          <t>abstain</t>
        </is>
      </c>
      <c r="H460" s="2" t="inlineStr">
        <is>
          <t>공시에 해당 정보 없음</t>
        </is>
      </c>
      <c r="I460" s="2" t="inlineStr"/>
      <c r="J460" s="2" t="inlineStr">
        <is>
          <t>금융감독원 금융상품통합비교공시 Open API (finlife.fss.or.kr), 202608</t>
        </is>
      </c>
      <c r="K460" s="2" t="inlineStr">
        <is>
          <t>아이엠뱅크:10511008001278000:max_limit</t>
        </is>
      </c>
      <c r="L460" s="2" t="inlineStr">
        <is>
          <t>(공시값 없음)</t>
        </is>
      </c>
    </row>
    <row r="461">
      <c r="A461" s="2" t="inlineStr">
        <is>
          <t>PRD-0460</t>
        </is>
      </c>
      <c r="B461" s="2" t="inlineStr">
        <is>
          <t>공시형</t>
        </is>
      </c>
      <c r="C461" s="2" t="inlineStr">
        <is>
          <t>예금</t>
        </is>
      </c>
      <c r="D461" s="2" t="inlineStr">
        <is>
          <t>정기예금</t>
        </is>
      </c>
      <c r="E461" s="2" t="inlineStr">
        <is>
          <t>abstain_missing_field</t>
        </is>
      </c>
      <c r="F461" s="2" t="inlineStr">
        <is>
          <t>우리은행 'WON플러스예금'의 최고 한도는 공시에서 얼마로 확인되는가?</t>
        </is>
      </c>
      <c r="G461" s="2" t="inlineStr">
        <is>
          <t>abstain</t>
        </is>
      </c>
      <c r="H461" s="2" t="inlineStr">
        <is>
          <t>공시에 해당 정보 없음</t>
        </is>
      </c>
      <c r="I461" s="2" t="inlineStr"/>
      <c r="J461" s="2" t="inlineStr">
        <is>
          <t>금융감독원 금융상품통합비교공시 Open API (finlife.fss.or.kr), 202608</t>
        </is>
      </c>
      <c r="K461" s="2" t="inlineStr">
        <is>
          <t>우리은행:WR0001B:max_limit</t>
        </is>
      </c>
      <c r="L461" s="2" t="inlineStr">
        <is>
          <t>(공시값 없음)</t>
        </is>
      </c>
    </row>
    <row r="462">
      <c r="A462" s="2" t="inlineStr">
        <is>
          <t>PRD-0461</t>
        </is>
      </c>
      <c r="B462" s="2" t="inlineStr">
        <is>
          <t>공시형</t>
        </is>
      </c>
      <c r="C462" s="2" t="inlineStr">
        <is>
          <t>예금</t>
        </is>
      </c>
      <c r="D462" s="2" t="inlineStr">
        <is>
          <t>정기예금</t>
        </is>
      </c>
      <c r="E462" s="2" t="inlineStr">
        <is>
          <t>abstain_missing_field</t>
        </is>
      </c>
      <c r="F462" s="2" t="inlineStr">
        <is>
          <t>전북은행 'JB 다이렉트예금통장 (만기일시지급식)'의 최고 한도는 공시에서 얼마로 확인되는가?</t>
        </is>
      </c>
      <c r="G462" s="2" t="inlineStr">
        <is>
          <t>abstain</t>
        </is>
      </c>
      <c r="H462" s="2" t="inlineStr">
        <is>
          <t>공시에 해당 정보 없음</t>
        </is>
      </c>
      <c r="I462" s="2" t="inlineStr"/>
      <c r="J462" s="2" t="inlineStr">
        <is>
          <t>금융감독원 금융상품통합비교공시 Open API (finlife.fss.or.kr), 202608</t>
        </is>
      </c>
      <c r="K462" s="2" t="inlineStr">
        <is>
          <t>전북은행:10-01-20-024-0046-0000:max_limit</t>
        </is>
      </c>
      <c r="L462" s="2" t="inlineStr">
        <is>
          <t>(공시값 없음)</t>
        </is>
      </c>
    </row>
    <row r="463">
      <c r="A463" s="2" t="inlineStr">
        <is>
          <t>PRD-0462</t>
        </is>
      </c>
      <c r="B463" s="2" t="inlineStr">
        <is>
          <t>공시형</t>
        </is>
      </c>
      <c r="C463" s="2" t="inlineStr">
        <is>
          <t>예금</t>
        </is>
      </c>
      <c r="D463" s="2" t="inlineStr">
        <is>
          <t>정기예금</t>
        </is>
      </c>
      <c r="E463" s="2" t="inlineStr">
        <is>
          <t>abstain_missing_field</t>
        </is>
      </c>
      <c r="F463" s="2" t="inlineStr">
        <is>
          <t>전북은행 'JB 123 정기예금 (만기일시지급식)'의 공시된 최고 한도 금액은 얼마인가?</t>
        </is>
      </c>
      <c r="G463" s="2" t="inlineStr">
        <is>
          <t>abstain</t>
        </is>
      </c>
      <c r="H463" s="2" t="inlineStr">
        <is>
          <t>공시에 해당 정보 없음</t>
        </is>
      </c>
      <c r="I463" s="2" t="inlineStr"/>
      <c r="J463" s="2" t="inlineStr">
        <is>
          <t>금융감독원 금융상품통합비교공시 Open API (finlife.fss.or.kr), 202608</t>
        </is>
      </c>
      <c r="K463" s="2" t="inlineStr">
        <is>
          <t>전북은행:10-01-20-024-0059-0000:max_limit</t>
        </is>
      </c>
      <c r="L463" s="2" t="inlineStr">
        <is>
          <t>(공시값 없음)</t>
        </is>
      </c>
    </row>
    <row r="464">
      <c r="A464" s="2" t="inlineStr">
        <is>
          <t>PRD-0463</t>
        </is>
      </c>
      <c r="B464" s="2" t="inlineStr">
        <is>
          <t>공시형</t>
        </is>
      </c>
      <c r="C464" s="2" t="inlineStr">
        <is>
          <t>예금</t>
        </is>
      </c>
      <c r="D464" s="2" t="inlineStr">
        <is>
          <t>정기예금</t>
        </is>
      </c>
      <c r="E464" s="2" t="inlineStr">
        <is>
          <t>abstain_missing_field</t>
        </is>
      </c>
      <c r="F464" s="2" t="inlineStr">
        <is>
          <t>전북은행 '내맘 쏙 정기예금'의 공시된 최고 한도 금액은 얼마인가?</t>
        </is>
      </c>
      <c r="G464" s="2" t="inlineStr">
        <is>
          <t>abstain</t>
        </is>
      </c>
      <c r="H464" s="2" t="inlineStr">
        <is>
          <t>공시에 해당 정보 없음</t>
        </is>
      </c>
      <c r="I464" s="2" t="inlineStr"/>
      <c r="J464" s="2" t="inlineStr">
        <is>
          <t>금융감독원 금융상품통합비교공시 Open API (finlife.fss.or.kr), 202608</t>
        </is>
      </c>
      <c r="K464" s="2" t="inlineStr">
        <is>
          <t>전북은행:10-01-20-024-0063-0000:max_limit</t>
        </is>
      </c>
      <c r="L464" s="2" t="inlineStr">
        <is>
          <t>(공시값 없음)</t>
        </is>
      </c>
    </row>
    <row r="465">
      <c r="A465" s="2" t="inlineStr">
        <is>
          <t>PRD-0464</t>
        </is>
      </c>
      <c r="B465" s="2" t="inlineStr">
        <is>
          <t>공시형</t>
        </is>
      </c>
      <c r="C465" s="2" t="inlineStr">
        <is>
          <t>예금</t>
        </is>
      </c>
      <c r="D465" s="2" t="inlineStr">
        <is>
          <t>정기예금</t>
        </is>
      </c>
      <c r="E465" s="2" t="inlineStr">
        <is>
          <t>abstain_missing_field</t>
        </is>
      </c>
      <c r="F465" s="2" t="inlineStr">
        <is>
          <t>제주은행 '제주Dream 정기예금 (개인/만기 지급식)'의 한도 상한 금액을 공시에서 찾으면 얼마인가?</t>
        </is>
      </c>
      <c r="G465" s="2" t="inlineStr">
        <is>
          <t>abstain</t>
        </is>
      </c>
      <c r="H465" s="2" t="inlineStr">
        <is>
          <t>공시에 해당 정보 없음</t>
        </is>
      </c>
      <c r="I465" s="2" t="inlineStr"/>
      <c r="J465" s="2" t="inlineStr">
        <is>
          <t>금융감독원 금융상품통합비교공시 Open API (finlife.fss.or.kr), 202608</t>
        </is>
      </c>
      <c r="K465" s="2" t="inlineStr">
        <is>
          <t>제주은행:101272000006:max_limit</t>
        </is>
      </c>
      <c r="L465" s="2" t="inlineStr">
        <is>
          <t>(공시값 없음)</t>
        </is>
      </c>
    </row>
    <row r="466">
      <c r="A466" s="2" t="inlineStr">
        <is>
          <t>PRD-0465</t>
        </is>
      </c>
      <c r="B466" s="2" t="inlineStr">
        <is>
          <t>공시형</t>
        </is>
      </c>
      <c r="C466" s="2" t="inlineStr">
        <is>
          <t>예금</t>
        </is>
      </c>
      <c r="D466" s="2" t="inlineStr">
        <is>
          <t>정기예금</t>
        </is>
      </c>
      <c r="E466" s="2" t="inlineStr">
        <is>
          <t>compare_two_products</t>
        </is>
      </c>
      <c r="F466" s="2" t="inlineStr">
        <is>
          <t>경남은행의 두 상품 'BNK더조은정기예금'과 'The든든예금(시즌2)'을(를) 비교하면 12개월 만기 최고 우대금리가 높은 쪽은?</t>
        </is>
      </c>
      <c r="G466" s="2" t="inlineStr">
        <is>
          <t>span</t>
        </is>
      </c>
      <c r="H466" s="2" t="inlineStr">
        <is>
          <t>The든든예금(시즌2)</t>
        </is>
      </c>
      <c r="I466" s="2" t="inlineStr"/>
      <c r="J466" s="2" t="inlineStr">
        <is>
          <t>금융감독원 금융상품통합비교공시 Open API (finlife.fss.or.kr), 202608</t>
        </is>
      </c>
      <c r="K466" s="2" t="inlineStr">
        <is>
          <t>경남은행:21001115,21001280:intr_rate2(12개월)</t>
        </is>
      </c>
      <c r="L466" s="2" t="inlineStr">
        <is>
          <t>BNK더조은정기예금=2.55; The든든예금(시즌2)=3.6</t>
        </is>
      </c>
    </row>
    <row r="467">
      <c r="A467" s="2" t="inlineStr">
        <is>
          <t>PRD-0466</t>
        </is>
      </c>
      <c r="B467" s="2" t="inlineStr">
        <is>
          <t>공시형</t>
        </is>
      </c>
      <c r="C467" s="2" t="inlineStr">
        <is>
          <t>예금</t>
        </is>
      </c>
      <c r="D467" s="2" t="inlineStr">
        <is>
          <t>정기예금</t>
        </is>
      </c>
      <c r="E467" s="2" t="inlineStr">
        <is>
          <t>compare_two_products</t>
        </is>
      </c>
      <c r="F467" s="2" t="inlineStr">
        <is>
          <t>경남은행의 두 상품 'The든든예금(시즌2)'과(와) 'The파트너예금'을 비교하면 12개월 만기 최고 우대금리가 높은 쪽은?</t>
        </is>
      </c>
      <c r="G467" s="2" t="inlineStr">
        <is>
          <t>span</t>
        </is>
      </c>
      <c r="H467" s="2" t="inlineStr">
        <is>
          <t>The든든예금(시즌2)</t>
        </is>
      </c>
      <c r="I467" s="2" t="inlineStr"/>
      <c r="J467" s="2" t="inlineStr">
        <is>
          <t>금융감독원 금융상품통합비교공시 Open API (finlife.fss.or.kr), 202608</t>
        </is>
      </c>
      <c r="K467" s="2" t="inlineStr">
        <is>
          <t>경남은행:21001280,21001285:intr_rate2(12개월)</t>
        </is>
      </c>
      <c r="L467" s="2" t="inlineStr">
        <is>
          <t>The든든예금(시즌2)=3.6; The파트너예금=3.55</t>
        </is>
      </c>
    </row>
    <row r="468">
      <c r="A468" s="2" t="inlineStr">
        <is>
          <t>PRD-0467</t>
        </is>
      </c>
      <c r="B468" s="2" t="inlineStr">
        <is>
          <t>공시형</t>
        </is>
      </c>
      <c r="C468" s="2" t="inlineStr">
        <is>
          <t>예금</t>
        </is>
      </c>
      <c r="D468" s="2" t="inlineStr">
        <is>
          <t>적금</t>
        </is>
      </c>
      <c r="E468" s="2" t="inlineStr">
        <is>
          <t>compare_two_products</t>
        </is>
      </c>
      <c r="F468" s="2" t="inlineStr">
        <is>
          <t>경남은행의 'BNK더조은자유적금'과 'BNK 위더스자유적금' 중 12개월 만기 최고 우대금리가 더 높은 상품은?</t>
        </is>
      </c>
      <c r="G468" s="2" t="inlineStr">
        <is>
          <t>span</t>
        </is>
      </c>
      <c r="H468" s="2" t="inlineStr">
        <is>
          <t>BNK 위더스자유적금</t>
        </is>
      </c>
      <c r="I468" s="2" t="inlineStr"/>
      <c r="J468" s="2" t="inlineStr">
        <is>
          <t>금융감독원 금융상품통합비교공시 Open API (finlife.fss.or.kr), 202608</t>
        </is>
      </c>
      <c r="K468" s="2" t="inlineStr">
        <is>
          <t>경남은행:21001116,21001199:intr_rate2(12개월)</t>
        </is>
      </c>
      <c r="L468" s="2" t="inlineStr">
        <is>
          <t>BNK더조은자유적금=3.9; BNK 위더스자유적금=4.8</t>
        </is>
      </c>
    </row>
    <row r="469">
      <c r="A469" s="2" t="inlineStr">
        <is>
          <t>PRD-0468</t>
        </is>
      </c>
      <c r="B469" s="2" t="inlineStr">
        <is>
          <t>공시형</t>
        </is>
      </c>
      <c r="C469" s="2" t="inlineStr">
        <is>
          <t>예금</t>
        </is>
      </c>
      <c r="D469" s="2" t="inlineStr">
        <is>
          <t>적금</t>
        </is>
      </c>
      <c r="E469" s="2" t="inlineStr">
        <is>
          <t>compare_two_products</t>
        </is>
      </c>
      <c r="F469" s="2" t="inlineStr">
        <is>
          <t>경남은행의 두 상품 'BNK 위더스자유적금'과 '주거래 프리미엄 적금'을 비교하면 12개월 만기 최고 우대금리가 높은 쪽은?</t>
        </is>
      </c>
      <c r="G469" s="2" t="inlineStr">
        <is>
          <t>span</t>
        </is>
      </c>
      <c r="H469" s="2" t="inlineStr">
        <is>
          <t>BNK 위더스자유적금</t>
        </is>
      </c>
      <c r="I469" s="2" t="inlineStr"/>
      <c r="J469" s="2" t="inlineStr">
        <is>
          <t>금융감독원 금융상품통합비교공시 Open API (finlife.fss.or.kr), 202608</t>
        </is>
      </c>
      <c r="K469" s="2" t="inlineStr">
        <is>
          <t>경남은행:21001199,21001236:intr_rate2(12개월)</t>
        </is>
      </c>
      <c r="L469" s="2" t="inlineStr">
        <is>
          <t>BNK 위더스자유적금=4.8; 주거래 프리미엄 적금=4.3</t>
        </is>
      </c>
    </row>
    <row r="470">
      <c r="A470" s="2" t="inlineStr">
        <is>
          <t>PRD-0469</t>
        </is>
      </c>
      <c r="B470" s="2" t="inlineStr">
        <is>
          <t>공시형</t>
        </is>
      </c>
      <c r="C470" s="2" t="inlineStr">
        <is>
          <t>예금</t>
        </is>
      </c>
      <c r="D470" s="2" t="inlineStr">
        <is>
          <t>적금</t>
        </is>
      </c>
      <c r="E470" s="2" t="inlineStr">
        <is>
          <t>compare_two_products</t>
        </is>
      </c>
      <c r="F470" s="2" t="inlineStr">
        <is>
          <t>경남은행의 두 상품 '주거래 프리미엄 적금'과 '오면우대! 하면우대! 정기적금'을 비교하면 12개월 만기 최고 우대금리가 높은 쪽은?</t>
        </is>
      </c>
      <c r="G470" s="2" t="inlineStr">
        <is>
          <t>span</t>
        </is>
      </c>
      <c r="H470" s="2" t="inlineStr">
        <is>
          <t>오면우대! 하면우대! 정기적금</t>
        </is>
      </c>
      <c r="I470" s="2" t="inlineStr"/>
      <c r="J470" s="2" t="inlineStr">
        <is>
          <t>금융감독원 금융상품통합비교공시 Open API (finlife.fss.or.kr), 202608</t>
        </is>
      </c>
      <c r="K470" s="2" t="inlineStr">
        <is>
          <t>경남은행:21001236,21001292:intr_rate2(12개월)</t>
        </is>
      </c>
      <c r="L470" s="2" t="inlineStr">
        <is>
          <t>주거래 프리미엄 적금=4.3; 오면우대! 하면우대! 정기적금=7</t>
        </is>
      </c>
    </row>
    <row r="471">
      <c r="A471" s="2" t="inlineStr">
        <is>
          <t>PRD-0470</t>
        </is>
      </c>
      <c r="B471" s="2" t="inlineStr">
        <is>
          <t>공시형</t>
        </is>
      </c>
      <c r="C471" s="2" t="inlineStr">
        <is>
          <t>예금</t>
        </is>
      </c>
      <c r="D471" s="2" t="inlineStr">
        <is>
          <t>정기예금</t>
        </is>
      </c>
      <c r="E471" s="2" t="inlineStr">
        <is>
          <t>compare_two_products</t>
        </is>
      </c>
      <c r="F471" s="2" t="inlineStr">
        <is>
          <t>광주은행의 두 상품 '미즈월복리정기예금'과 '스마트모아Dream정기예금'을 비교하면 12개월 만기 최고 우대금리가 높은 쪽은?</t>
        </is>
      </c>
      <c r="G471" s="2" t="inlineStr">
        <is>
          <t>span</t>
        </is>
      </c>
      <c r="H471" s="2" t="inlineStr">
        <is>
          <t>미즈월복리정기예금</t>
        </is>
      </c>
      <c r="I471" s="2" t="inlineStr"/>
      <c r="J471" s="2" t="inlineStr">
        <is>
          <t>금융감독원 금융상품통합비교공시 Open API (finlife.fss.or.kr), 202608</t>
        </is>
      </c>
      <c r="K471" s="2" t="inlineStr">
        <is>
          <t>광주은행:TD11300027000,TD11300031000:intr_rate2(12개월)</t>
        </is>
      </c>
      <c r="L471" s="2" t="inlineStr">
        <is>
          <t>미즈월복리정기예금=3.53; 스마트모아Dream정기예금=3.43</t>
        </is>
      </c>
    </row>
    <row r="472">
      <c r="A472" s="2" t="inlineStr">
        <is>
          <t>PRD-0471</t>
        </is>
      </c>
      <c r="B472" s="2" t="inlineStr">
        <is>
          <t>공시형</t>
        </is>
      </c>
      <c r="C472" s="2" t="inlineStr">
        <is>
          <t>예금</t>
        </is>
      </c>
      <c r="D472" s="2" t="inlineStr">
        <is>
          <t>정기예금</t>
        </is>
      </c>
      <c r="E472" s="2" t="inlineStr">
        <is>
          <t>compare_two_products</t>
        </is>
      </c>
      <c r="F472" s="2" t="inlineStr">
        <is>
          <t>광주은행의 두 상품 '스마트모아Dream정기예금'과 '굿스타트예금'을 비교하면 12개월 만기 최고 우대금리가 높은 쪽은?</t>
        </is>
      </c>
      <c r="G472" s="2" t="inlineStr">
        <is>
          <t>span</t>
        </is>
      </c>
      <c r="H472" s="2" t="inlineStr">
        <is>
          <t>굿스타트예금</t>
        </is>
      </c>
      <c r="I472" s="2" t="inlineStr"/>
      <c r="J472" s="2" t="inlineStr">
        <is>
          <t>금융감독원 금융상품통합비교공시 Open API (finlife.fss.or.kr), 202608</t>
        </is>
      </c>
      <c r="K472" s="2" t="inlineStr">
        <is>
          <t>광주은행:TD11300031000,TD11300035000:intr_rate2(12개월)</t>
        </is>
      </c>
      <c r="L472" s="2" t="inlineStr">
        <is>
          <t>스마트모아Dream정기예금=3.43; 굿스타트예금=3.63</t>
        </is>
      </c>
    </row>
    <row r="473">
      <c r="A473" s="2" t="inlineStr">
        <is>
          <t>PRD-0472</t>
        </is>
      </c>
      <c r="B473" s="2" t="inlineStr">
        <is>
          <t>공시형</t>
        </is>
      </c>
      <c r="C473" s="2" t="inlineStr">
        <is>
          <t>예금</t>
        </is>
      </c>
      <c r="D473" s="2" t="inlineStr">
        <is>
          <t>정기예금</t>
        </is>
      </c>
      <c r="E473" s="2" t="inlineStr">
        <is>
          <t>compare_two_products</t>
        </is>
      </c>
      <c r="F473" s="2" t="inlineStr">
        <is>
          <t>12개월 만기 최고 우대금리 기준으로, 광주은행의 '굿스타트예금'과 'The플러스예금' 중 어느 상품이 유리한가?</t>
        </is>
      </c>
      <c r="G473" s="2" t="inlineStr">
        <is>
          <t>span</t>
        </is>
      </c>
      <c r="H473" s="2" t="inlineStr">
        <is>
          <t>굿스타트예금</t>
        </is>
      </c>
      <c r="I473" s="2" t="inlineStr"/>
      <c r="J473" s="2" t="inlineStr">
        <is>
          <t>금융감독원 금융상품통합비교공시 Open API (finlife.fss.or.kr), 202608</t>
        </is>
      </c>
      <c r="K473" s="2" t="inlineStr">
        <is>
          <t>광주은행:TD11300035000,TD11300036000:intr_rate2(12개월)</t>
        </is>
      </c>
      <c r="L473" s="2" t="inlineStr">
        <is>
          <t>굿스타트예금=3.63; The플러스예금=2.7</t>
        </is>
      </c>
    </row>
    <row r="474">
      <c r="A474" s="2" t="inlineStr">
        <is>
          <t>PRD-0473</t>
        </is>
      </c>
      <c r="B474" s="2" t="inlineStr">
        <is>
          <t>공시형</t>
        </is>
      </c>
      <c r="C474" s="2" t="inlineStr">
        <is>
          <t>예금</t>
        </is>
      </c>
      <c r="D474" s="2" t="inlineStr">
        <is>
          <t>적금</t>
        </is>
      </c>
      <c r="E474" s="2" t="inlineStr">
        <is>
          <t>compare_two_products</t>
        </is>
      </c>
      <c r="F474" s="2" t="inlineStr">
        <is>
          <t>광주은행의 '해피라이프_여행스케치적금V'과(와) '여행스케치_남도투어적금' 중 12개월 만기 최고 우대금리가 더 높은 상품은?</t>
        </is>
      </c>
      <c r="G474" s="2" t="inlineStr">
        <is>
          <t>span</t>
        </is>
      </c>
      <c r="H474" s="2" t="inlineStr">
        <is>
          <t>여행스케치_남도투어적금</t>
        </is>
      </c>
      <c r="I474" s="2" t="inlineStr"/>
      <c r="J474" s="2" t="inlineStr">
        <is>
          <t>금융감독원 금융상품통합비교공시 Open API (finlife.fss.or.kr), 202608</t>
        </is>
      </c>
      <c r="K474" s="2" t="inlineStr">
        <is>
          <t>광주은행:TD11330029000,TD11330030000:intr_rate2(12개월)</t>
        </is>
      </c>
      <c r="L474" s="2" t="inlineStr">
        <is>
          <t>해피라이프_여행스케치적금V=3.5; 여행스케치_남도투어적금=3.9</t>
        </is>
      </c>
    </row>
    <row r="475">
      <c r="A475" s="2" t="inlineStr">
        <is>
          <t>PRD-0474</t>
        </is>
      </c>
      <c r="B475" s="2" t="inlineStr">
        <is>
          <t>공시형</t>
        </is>
      </c>
      <c r="C475" s="2" t="inlineStr">
        <is>
          <t>예금</t>
        </is>
      </c>
      <c r="D475" s="2" t="inlineStr">
        <is>
          <t>적금</t>
        </is>
      </c>
      <c r="E475" s="2" t="inlineStr">
        <is>
          <t>compare_two_products</t>
        </is>
      </c>
      <c r="F475" s="2" t="inlineStr">
        <is>
          <t>12개월 만기 최고 우대금리 기준으로, 광주은행의 '여행스케치_남도투어적금'과 'VIP플러스적금' 중 어느 상품이 유리한가?</t>
        </is>
      </c>
      <c r="G475" s="2" t="inlineStr">
        <is>
          <t>span</t>
        </is>
      </c>
      <c r="H475" s="2" t="inlineStr">
        <is>
          <t>여행스케치_남도투어적금</t>
        </is>
      </c>
      <c r="I475" s="2" t="inlineStr"/>
      <c r="J475" s="2" t="inlineStr">
        <is>
          <t>금융감독원 금융상품통합비교공시 Open API (finlife.fss.or.kr), 202608</t>
        </is>
      </c>
      <c r="K475" s="2" t="inlineStr">
        <is>
          <t>광주은행:TD11330030000,TD11330031000:intr_rate2(12개월)</t>
        </is>
      </c>
      <c r="L475" s="2" t="inlineStr">
        <is>
          <t>여행스케치_남도투어적금=3.9; VIP플러스적금=2.7</t>
        </is>
      </c>
    </row>
    <row r="476">
      <c r="A476" s="2" t="inlineStr">
        <is>
          <t>PRD-0475</t>
        </is>
      </c>
      <c r="B476" s="2" t="inlineStr">
        <is>
          <t>공시형</t>
        </is>
      </c>
      <c r="C476" s="2" t="inlineStr">
        <is>
          <t>예금</t>
        </is>
      </c>
      <c r="D476" s="2" t="inlineStr">
        <is>
          <t>적금</t>
        </is>
      </c>
      <c r="E476" s="2" t="inlineStr">
        <is>
          <t>compare_two_products</t>
        </is>
      </c>
      <c r="F476" s="2" t="inlineStr">
        <is>
          <t>국민은행의 두 상품 'KB국민프리미엄적금(정액)'과(와) 'KB내맘대로적금'을 비교하면 12개월 만기 최고 우대금리가 높은 쪽은?</t>
        </is>
      </c>
      <c r="G476" s="2" t="inlineStr">
        <is>
          <t>span</t>
        </is>
      </c>
      <c r="H476" s="2" t="inlineStr">
        <is>
          <t>KB국민프리미엄적금(정액)</t>
        </is>
      </c>
      <c r="I476" s="2" t="inlineStr"/>
      <c r="J476" s="2" t="inlineStr">
        <is>
          <t>금융감독원 금융상품통합비교공시 Open API (finlife.fss.or.kr), 202608</t>
        </is>
      </c>
      <c r="K476" s="2" t="inlineStr">
        <is>
          <t>국민은행:010200100051,010200100070:intr_rate2(12개월)</t>
        </is>
      </c>
      <c r="L476" s="2" t="inlineStr">
        <is>
          <t>KB국민프리미엄적금(정액)=3.65; KB내맘대로적금=3.15</t>
        </is>
      </c>
    </row>
    <row r="477">
      <c r="A477" s="2" t="inlineStr">
        <is>
          <t>PRD-0476</t>
        </is>
      </c>
      <c r="B477" s="2" t="inlineStr">
        <is>
          <t>공시형</t>
        </is>
      </c>
      <c r="C477" s="2" t="inlineStr">
        <is>
          <t>예금</t>
        </is>
      </c>
      <c r="D477" s="2" t="inlineStr">
        <is>
          <t>적금</t>
        </is>
      </c>
      <c r="E477" s="2" t="inlineStr">
        <is>
          <t>compare_two_products</t>
        </is>
      </c>
      <c r="F477" s="2" t="inlineStr">
        <is>
          <t>국민은행의 두 상품 'KB내맘대로적금'과 'KB맑은하늘적금'을 비교하면 12개월 만기 최고 우대금리가 높은 쪽은?</t>
        </is>
      </c>
      <c r="G477" s="2" t="inlineStr">
        <is>
          <t>span</t>
        </is>
      </c>
      <c r="H477" s="2" t="inlineStr">
        <is>
          <t>KB맑은하늘적금</t>
        </is>
      </c>
      <c r="I477" s="2" t="inlineStr"/>
      <c r="J477" s="2" t="inlineStr">
        <is>
          <t>금융감독원 금융상품통합비교공시 Open API (finlife.fss.or.kr), 202608</t>
        </is>
      </c>
      <c r="K477" s="2" t="inlineStr">
        <is>
          <t>국민은행:010200100070,010200100084:intr_rate2(12개월)</t>
        </is>
      </c>
      <c r="L477" s="2" t="inlineStr">
        <is>
          <t>KB내맘대로적금=3.15; KB맑은하늘적금=3.45</t>
        </is>
      </c>
    </row>
    <row r="478">
      <c r="A478" s="2" t="inlineStr">
        <is>
          <t>PRD-0477</t>
        </is>
      </c>
      <c r="B478" s="2" t="inlineStr">
        <is>
          <t>공시형</t>
        </is>
      </c>
      <c r="C478" s="2" t="inlineStr">
        <is>
          <t>예금</t>
        </is>
      </c>
      <c r="D478" s="2" t="inlineStr">
        <is>
          <t>정기예금</t>
        </is>
      </c>
      <c r="E478" s="2" t="inlineStr">
        <is>
          <t>compare_two_products</t>
        </is>
      </c>
      <c r="F478" s="2" t="inlineStr">
        <is>
          <t>농협은행주식회사의 'NH왈츠회전예금 II'과(와) 'NH내가Green초록세상예금' 중 12개월 만기 최고 우대금리가 더 높은 상품은?</t>
        </is>
      </c>
      <c r="G478" s="2" t="inlineStr">
        <is>
          <t>span</t>
        </is>
      </c>
      <c r="H478" s="2" t="inlineStr">
        <is>
          <t>NH왈츠회전예금 II</t>
        </is>
      </c>
      <c r="I478" s="2" t="inlineStr"/>
      <c r="J478" s="2" t="inlineStr">
        <is>
          <t>금융감독원 금융상품통합비교공시 Open API (finlife.fss.or.kr), 202608</t>
        </is>
      </c>
      <c r="K478" s="2" t="inlineStr">
        <is>
          <t>농협은행주식회사:10-003-1225-0001,10-003-1381-0001:intr_rate2(12개월)</t>
        </is>
      </c>
      <c r="L478" s="2" t="inlineStr">
        <is>
          <t>NH왈츠회전예금 II=3.25; NH내가Green초록세상예금=2.85</t>
        </is>
      </c>
    </row>
    <row r="479">
      <c r="A479" s="2" t="inlineStr">
        <is>
          <t>PRD-0478</t>
        </is>
      </c>
      <c r="B479" s="2" t="inlineStr">
        <is>
          <t>공시형</t>
        </is>
      </c>
      <c r="C479" s="2" t="inlineStr">
        <is>
          <t>예금</t>
        </is>
      </c>
      <c r="D479" s="2" t="inlineStr">
        <is>
          <t>정기예금</t>
        </is>
      </c>
      <c r="E479" s="2" t="inlineStr">
        <is>
          <t>compare_two_products</t>
        </is>
      </c>
      <c r="F479" s="2" t="inlineStr">
        <is>
          <t>12개월 만기 최고 우대금리 기준으로, 농협은행주식회사의 'NH내가Green초록세상예금'과 'NH올원e예금' 중 어느 상품이 유리한가?</t>
        </is>
      </c>
      <c r="G479" s="2" t="inlineStr">
        <is>
          <t>span</t>
        </is>
      </c>
      <c r="H479" s="2" t="inlineStr">
        <is>
          <t>NH올원e예금</t>
        </is>
      </c>
      <c r="I479" s="2" t="inlineStr"/>
      <c r="J479" s="2" t="inlineStr">
        <is>
          <t>금융감독원 금융상품통합비교공시 Open API (finlife.fss.or.kr), 202608</t>
        </is>
      </c>
      <c r="K479" s="2" t="inlineStr">
        <is>
          <t>농협은행주식회사:10-003-1381-0001,10-003-1384-0001:intr_rate2(12개월)</t>
        </is>
      </c>
      <c r="L479" s="2" t="inlineStr">
        <is>
          <t>NH내가Green초록세상예금=2.85; NH올원e예금=3.25</t>
        </is>
      </c>
    </row>
    <row r="480">
      <c r="A480" s="2" t="inlineStr">
        <is>
          <t>PRD-0479</t>
        </is>
      </c>
      <c r="B480" s="2" t="inlineStr">
        <is>
          <t>공시형</t>
        </is>
      </c>
      <c r="C480" s="2" t="inlineStr">
        <is>
          <t>예금</t>
        </is>
      </c>
      <c r="D480" s="2" t="inlineStr">
        <is>
          <t>정기예금</t>
        </is>
      </c>
      <c r="E480" s="2" t="inlineStr">
        <is>
          <t>compare_two_products</t>
        </is>
      </c>
      <c r="F480" s="2" t="inlineStr">
        <is>
          <t>농협은행주식회사의 'NH올원e예금'과 'NH고향사랑기부예금' 중 12개월 만기 최고 우대금리가 더 높은 상품은?</t>
        </is>
      </c>
      <c r="G480" s="2" t="inlineStr">
        <is>
          <t>span</t>
        </is>
      </c>
      <c r="H480" s="2" t="inlineStr">
        <is>
          <t>NH올원e예금</t>
        </is>
      </c>
      <c r="I480" s="2" t="inlineStr"/>
      <c r="J480" s="2" t="inlineStr">
        <is>
          <t>금융감독원 금융상품통합비교공시 Open API (finlife.fss.or.kr), 202608</t>
        </is>
      </c>
      <c r="K480" s="2" t="inlineStr">
        <is>
          <t>농협은행주식회사:10-003-1384-0001,10-003-1387-0001:intr_rate2(12개월)</t>
        </is>
      </c>
      <c r="L480" s="2" t="inlineStr">
        <is>
          <t>NH올원e예금=3.25; NH고향사랑기부예금=2.9</t>
        </is>
      </c>
    </row>
    <row r="481">
      <c r="A481" s="2" t="inlineStr">
        <is>
          <t>PRD-0480</t>
        </is>
      </c>
      <c r="B481" s="2" t="inlineStr">
        <is>
          <t>공시형</t>
        </is>
      </c>
      <c r="C481" s="2" t="inlineStr">
        <is>
          <t>예금</t>
        </is>
      </c>
      <c r="D481" s="2" t="inlineStr">
        <is>
          <t>적금</t>
        </is>
      </c>
      <c r="E481" s="2" t="inlineStr">
        <is>
          <t>compare_two_products</t>
        </is>
      </c>
      <c r="F481" s="2" t="inlineStr">
        <is>
          <t>농협은행주식회사의 두 상품 'NH1934월복리적금'과 'NH내가Green초록세상적금'을 비교하면 12개월 만기 최고 우대금리가 높은 쪽은?</t>
        </is>
      </c>
      <c r="G481" s="2" t="inlineStr">
        <is>
          <t>span</t>
        </is>
      </c>
      <c r="H481" s="2" t="inlineStr">
        <is>
          <t>NH1934월복리적금</t>
        </is>
      </c>
      <c r="I481" s="2" t="inlineStr"/>
      <c r="J481" s="2" t="inlineStr">
        <is>
          <t>금융감독원 금융상품통합비교공시 Open API (finlife.fss.or.kr), 202608</t>
        </is>
      </c>
      <c r="K481" s="2" t="inlineStr">
        <is>
          <t>농협은행주식회사:10-047-1365-0001,10-047-1381-0001:intr_rate2(12개월)</t>
        </is>
      </c>
      <c r="L481" s="2" t="inlineStr">
        <is>
          <t>NH1934월복리적금=6.05; NH내가Green초록세상적금=3.55</t>
        </is>
      </c>
    </row>
    <row r="482">
      <c r="A482" s="2" t="inlineStr">
        <is>
          <t>PRD-0481</t>
        </is>
      </c>
      <c r="B482" s="2" t="inlineStr">
        <is>
          <t>공시형</t>
        </is>
      </c>
      <c r="C482" s="2" t="inlineStr">
        <is>
          <t>예금</t>
        </is>
      </c>
      <c r="D482" s="2" t="inlineStr">
        <is>
          <t>적금</t>
        </is>
      </c>
      <c r="E482" s="2" t="inlineStr">
        <is>
          <t>compare_two_products</t>
        </is>
      </c>
      <c r="F482" s="2" t="inlineStr">
        <is>
          <t>12개월 만기 최고 우대금리 기준으로, 농협은행주식회사의 'NH내가Green초록세상적금'과 'NH고향사랑기부적금' 중 어느 상품이 유리한가?</t>
        </is>
      </c>
      <c r="G482" s="2" t="inlineStr">
        <is>
          <t>span</t>
        </is>
      </c>
      <c r="H482" s="2" t="inlineStr">
        <is>
          <t>NH고향사랑기부적금</t>
        </is>
      </c>
      <c r="I482" s="2" t="inlineStr"/>
      <c r="J482" s="2" t="inlineStr">
        <is>
          <t>금융감독원 금융상품통합비교공시 Open API (finlife.fss.or.kr), 202608</t>
        </is>
      </c>
      <c r="K482" s="2" t="inlineStr">
        <is>
          <t>농협은행주식회사:10-047-1381-0001,10-047-1387-0001:intr_rate2(12개월)</t>
        </is>
      </c>
      <c r="L482" s="2" t="inlineStr">
        <is>
          <t>NH내가Green초록세상적금=3.55; NH고향사랑기부적금=3.7</t>
        </is>
      </c>
    </row>
    <row r="483">
      <c r="A483" s="2" t="inlineStr">
        <is>
          <t>PRD-0482</t>
        </is>
      </c>
      <c r="B483" s="2" t="inlineStr">
        <is>
          <t>공시형</t>
        </is>
      </c>
      <c r="C483" s="2" t="inlineStr">
        <is>
          <t>예금</t>
        </is>
      </c>
      <c r="D483" s="2" t="inlineStr">
        <is>
          <t>적금</t>
        </is>
      </c>
      <c r="E483" s="2" t="inlineStr">
        <is>
          <t>compare_two_products</t>
        </is>
      </c>
      <c r="F483" s="2" t="inlineStr">
        <is>
          <t>농협은행주식회사의 두 상품 'NH고향사랑기부적금'과 'NH직장인월복리적금'을 비교하면 12개월 만기 최고 우대금리가 높은 쪽은?</t>
        </is>
      </c>
      <c r="G483" s="2" t="inlineStr">
        <is>
          <t>span</t>
        </is>
      </c>
      <c r="H483" s="2" t="inlineStr">
        <is>
          <t>NH직장인월복리적금</t>
        </is>
      </c>
      <c r="I483" s="2" t="inlineStr"/>
      <c r="J483" s="2" t="inlineStr">
        <is>
          <t>금융감독원 금융상품통합비교공시 Open API (finlife.fss.or.kr), 202608</t>
        </is>
      </c>
      <c r="K483" s="2" t="inlineStr">
        <is>
          <t>농협은행주식회사:10-047-1387-0001,10-059-1264-0001:intr_rate2(12개월)</t>
        </is>
      </c>
      <c r="L483" s="2" t="inlineStr">
        <is>
          <t>NH고향사랑기부적금=3.7; NH직장인월복리적금=3.72</t>
        </is>
      </c>
    </row>
    <row r="484">
      <c r="A484" s="2" t="inlineStr">
        <is>
          <t>PRD-0483</t>
        </is>
      </c>
      <c r="B484" s="2" t="inlineStr">
        <is>
          <t>공시형</t>
        </is>
      </c>
      <c r="C484" s="2" t="inlineStr">
        <is>
          <t>예금</t>
        </is>
      </c>
      <c r="D484" s="2" t="inlineStr">
        <is>
          <t>정기예금</t>
        </is>
      </c>
      <c r="E484" s="2" t="inlineStr">
        <is>
          <t>compare_two_products</t>
        </is>
      </c>
      <c r="F484" s="2" t="inlineStr">
        <is>
          <t>12개월 만기 최고 우대금리 기준으로, 부산은행의 'LIVE정기예금'과 '더(The) 특판 정기예금' 중 어느 상품이 유리한가?</t>
        </is>
      </c>
      <c r="G484" s="2" t="inlineStr">
        <is>
          <t>span</t>
        </is>
      </c>
      <c r="H484" s="2" t="inlineStr">
        <is>
          <t>더(The) 특판 정기예금</t>
        </is>
      </c>
      <c r="I484" s="2" t="inlineStr"/>
      <c r="J484" s="2" t="inlineStr">
        <is>
          <t>금융감독원 금융상품통합비교공시 Open API (finlife.fss.or.kr), 202608</t>
        </is>
      </c>
      <c r="K484" s="2" t="inlineStr">
        <is>
          <t>부산은행:01030500510002,01030500560002:intr_rate2(12개월)</t>
        </is>
      </c>
      <c r="L484" s="2" t="inlineStr">
        <is>
          <t>LIVE정기예금=2.8; 더(The) 특판 정기예금=3.55</t>
        </is>
      </c>
    </row>
    <row r="485">
      <c r="A485" s="2" t="inlineStr">
        <is>
          <t>PRD-0484</t>
        </is>
      </c>
      <c r="B485" s="2" t="inlineStr">
        <is>
          <t>공시형</t>
        </is>
      </c>
      <c r="C485" s="2" t="inlineStr">
        <is>
          <t>예금</t>
        </is>
      </c>
      <c r="D485" s="2" t="inlineStr">
        <is>
          <t>적금</t>
        </is>
      </c>
      <c r="E485" s="2" t="inlineStr">
        <is>
          <t>compare_two_products</t>
        </is>
      </c>
      <c r="F485" s="2" t="inlineStr">
        <is>
          <t>부산은행의 두 상품 '펫 적금'과 '저탄소 실천 적금'을 비교하면 12개월 만기 최고 우대금리가 높은 쪽은?</t>
        </is>
      </c>
      <c r="G485" s="2" t="inlineStr">
        <is>
          <t>span</t>
        </is>
      </c>
      <c r="H485" s="2" t="inlineStr">
        <is>
          <t>펫 적금</t>
        </is>
      </c>
      <c r="I485" s="2" t="inlineStr"/>
      <c r="J485" s="2" t="inlineStr">
        <is>
          <t>금융감독원 금융상품통합비교공시 Open API (finlife.fss.or.kr), 202608</t>
        </is>
      </c>
      <c r="K485" s="2" t="inlineStr">
        <is>
          <t>부산은행:01020400490002,01020400510001:intr_rate2(12개월)</t>
        </is>
      </c>
      <c r="L485" s="2" t="inlineStr">
        <is>
          <t>펫 적금=3.1; 저탄소 실천 적금=3</t>
        </is>
      </c>
    </row>
    <row r="486">
      <c r="A486" s="2" t="inlineStr">
        <is>
          <t>PRD-0485</t>
        </is>
      </c>
      <c r="B486" s="2" t="inlineStr">
        <is>
          <t>공시형</t>
        </is>
      </c>
      <c r="C486" s="2" t="inlineStr">
        <is>
          <t>예금</t>
        </is>
      </c>
      <c r="D486" s="2" t="inlineStr">
        <is>
          <t>적금</t>
        </is>
      </c>
      <c r="E486" s="2" t="inlineStr">
        <is>
          <t>compare_two_products</t>
        </is>
      </c>
      <c r="F486" s="2" t="inlineStr">
        <is>
          <t>부산은행의 '저탄소 실천 적금'과 'BNK내맘대로 적금' 중 12개월 만기 최고 우대금리가 더 높은 상품은?</t>
        </is>
      </c>
      <c r="G486" s="2" t="inlineStr">
        <is>
          <t>span</t>
        </is>
      </c>
      <c r="H486" s="2" t="inlineStr">
        <is>
          <t>BNK내맘대로 적금</t>
        </is>
      </c>
      <c r="I486" s="2" t="inlineStr"/>
      <c r="J486" s="2" t="inlineStr">
        <is>
          <t>금융감독원 금융상품통합비교공시 Open API (finlife.fss.or.kr), 202608</t>
        </is>
      </c>
      <c r="K486" s="2" t="inlineStr">
        <is>
          <t>부산은행:01020400510001,01020400530001:intr_rate2(12개월)</t>
        </is>
      </c>
      <c r="L486" s="2" t="inlineStr">
        <is>
          <t>저탄소 실천 적금=3; BNK내맘대로 적금=3.1</t>
        </is>
      </c>
    </row>
    <row r="487">
      <c r="A487" s="2" t="inlineStr">
        <is>
          <t>PRD-0486</t>
        </is>
      </c>
      <c r="B487" s="2" t="inlineStr">
        <is>
          <t>공시형</t>
        </is>
      </c>
      <c r="C487" s="2" t="inlineStr">
        <is>
          <t>예금</t>
        </is>
      </c>
      <c r="D487" s="2" t="inlineStr">
        <is>
          <t>적금</t>
        </is>
      </c>
      <c r="E487" s="2" t="inlineStr">
        <is>
          <t>compare_two_products</t>
        </is>
      </c>
      <c r="F487" s="2" t="inlineStr">
        <is>
          <t>부산은행의 두 상품 'BNK내맘대로 적금'과 '부산이라 좋다 Big적금'을 비교하면 12개월 만기 최고 우대금리가 높은 쪽은?</t>
        </is>
      </c>
      <c r="G487" s="2" t="inlineStr">
        <is>
          <t>span</t>
        </is>
      </c>
      <c r="H487" s="2" t="inlineStr">
        <is>
          <t>부산이라 좋다 Big적금</t>
        </is>
      </c>
      <c r="I487" s="2" t="inlineStr"/>
      <c r="J487" s="2" t="inlineStr">
        <is>
          <t>금융감독원 금융상품통합비교공시 Open API (finlife.fss.or.kr), 202608</t>
        </is>
      </c>
      <c r="K487" s="2" t="inlineStr">
        <is>
          <t>부산은행:01020400530001,01020400660001:intr_rate2(12개월)</t>
        </is>
      </c>
      <c r="L487" s="2" t="inlineStr">
        <is>
          <t>BNK내맘대로 적금=3.1; 부산이라 좋다 Big적금=4.8</t>
        </is>
      </c>
    </row>
    <row r="488">
      <c r="A488" s="2" t="inlineStr">
        <is>
          <t>PRD-0487</t>
        </is>
      </c>
      <c r="B488" s="2" t="inlineStr">
        <is>
          <t>공시형</t>
        </is>
      </c>
      <c r="C488" s="2" t="inlineStr">
        <is>
          <t>예금</t>
        </is>
      </c>
      <c r="D488" s="2" t="inlineStr">
        <is>
          <t>정기예금</t>
        </is>
      </c>
      <c r="E488" s="2" t="inlineStr">
        <is>
          <t>compare_two_products</t>
        </is>
      </c>
      <c r="F488" s="2" t="inlineStr">
        <is>
          <t>수협은행의 두 상품 '헤이(Hey)정기예금'과 'Sh첫만남우대예금'을 비교하면 12개월 만기 최고 우대금리가 높은 쪽은?</t>
        </is>
      </c>
      <c r="G488" s="2" t="inlineStr">
        <is>
          <t>span</t>
        </is>
      </c>
      <c r="H488" s="2" t="inlineStr">
        <is>
          <t>Sh첫만남우대예금</t>
        </is>
      </c>
      <c r="I488" s="2" t="inlineStr"/>
      <c r="J488" s="2" t="inlineStr">
        <is>
          <t>금융감독원 금융상품통합비교공시 Open API (finlife.fss.or.kr), 202608</t>
        </is>
      </c>
      <c r="K488" s="2" t="inlineStr">
        <is>
          <t>수협은행:10120114700011,10120116100011:intr_rate2(12개월)</t>
        </is>
      </c>
      <c r="L488" s="2" t="inlineStr">
        <is>
          <t>헤이(Hey)정기예금=3.61; Sh첫만남우대예금=3.75</t>
        </is>
      </c>
    </row>
    <row r="489">
      <c r="A489" s="2" t="inlineStr">
        <is>
          <t>PRD-0488</t>
        </is>
      </c>
      <c r="B489" s="2" t="inlineStr">
        <is>
          <t>공시형</t>
        </is>
      </c>
      <c r="C489" s="2" t="inlineStr">
        <is>
          <t>예금</t>
        </is>
      </c>
      <c r="D489" s="2" t="inlineStr">
        <is>
          <t>적금</t>
        </is>
      </c>
      <c r="E489" s="2" t="inlineStr">
        <is>
          <t>compare_two_products</t>
        </is>
      </c>
      <c r="F489" s="2" t="inlineStr">
        <is>
          <t>수협은행의 두 상품 'Sh해양플라스틱Zero!적금 (정액적립식)'과(와) '헤이(Hey)적금 (정액적립식)'을(를) 비교하면 12개월 만기 최고 우대금리가 높은 쪽은?</t>
        </is>
      </c>
      <c r="G489" s="2" t="inlineStr">
        <is>
          <t>span</t>
        </is>
      </c>
      <c r="H489" s="2" t="inlineStr">
        <is>
          <t>Sh해양플라스틱Zero!적금 (정액적립식)</t>
        </is>
      </c>
      <c r="I489" s="2" t="inlineStr"/>
      <c r="J489" s="2" t="inlineStr">
        <is>
          <t>금융감독원 금융상품통합비교공시 Open API (finlife.fss.or.kr), 202608</t>
        </is>
      </c>
      <c r="K489" s="2" t="inlineStr">
        <is>
          <t>수협은행:10140114300011,10140114700041:intr_rate2(12개월)</t>
        </is>
      </c>
      <c r="L489" s="2" t="inlineStr">
        <is>
          <t>Sh해양플라스틱Zero!적금 (정액적립식)=4; 헤이(Hey)적금 (정액적립식)=3.7</t>
        </is>
      </c>
    </row>
    <row r="490">
      <c r="A490" s="2" t="inlineStr">
        <is>
          <t>PRD-0489</t>
        </is>
      </c>
      <c r="B490" s="2" t="inlineStr">
        <is>
          <t>공시형</t>
        </is>
      </c>
      <c r="C490" s="2" t="inlineStr">
        <is>
          <t>예금</t>
        </is>
      </c>
      <c r="D490" s="2" t="inlineStr">
        <is>
          <t>적금</t>
        </is>
      </c>
      <c r="E490" s="2" t="inlineStr">
        <is>
          <t>compare_two_products</t>
        </is>
      </c>
      <c r="F490" s="2" t="inlineStr">
        <is>
          <t>12개월 만기 최고 우대금리 기준으로, 수협은행의 '헤이(Hey)적금 (정액적립식)'과(와) 'Sh월복리자유적금' 중 어느 상품이 유리한가?</t>
        </is>
      </c>
      <c r="G490" s="2" t="inlineStr">
        <is>
          <t>span</t>
        </is>
      </c>
      <c r="H490" s="2" t="inlineStr">
        <is>
          <t>헤이(Hey)적금 (정액적립식)</t>
        </is>
      </c>
      <c r="I490" s="2" t="inlineStr"/>
      <c r="J490" s="2" t="inlineStr">
        <is>
          <t>금융감독원 금융상품통합비교공시 Open API (finlife.fss.or.kr), 202608</t>
        </is>
      </c>
      <c r="K490" s="2" t="inlineStr">
        <is>
          <t>수협은행:10140114700041,10141109800021:intr_rate2(12개월)</t>
        </is>
      </c>
      <c r="L490" s="2" t="inlineStr">
        <is>
          <t>헤이(Hey)적금 (정액적립식)=3.7; Sh월복리자유적금=2.9</t>
        </is>
      </c>
    </row>
    <row r="491">
      <c r="A491" s="2" t="inlineStr">
        <is>
          <t>PRD-0490</t>
        </is>
      </c>
      <c r="B491" s="2" t="inlineStr">
        <is>
          <t>공시형</t>
        </is>
      </c>
      <c r="C491" s="2" t="inlineStr">
        <is>
          <t>예금</t>
        </is>
      </c>
      <c r="D491" s="2" t="inlineStr">
        <is>
          <t>적금</t>
        </is>
      </c>
      <c r="E491" s="2" t="inlineStr">
        <is>
          <t>compare_two_products</t>
        </is>
      </c>
      <c r="F491" s="2" t="inlineStr">
        <is>
          <t>수협은행의 두 상품 'Sh월복리자유적금'과 'Sh해양플라스틱Zero!적금 (자유적립식)'을(를) 비교하면 12개월 만기 최고 우대금리가 높은 쪽은?</t>
        </is>
      </c>
      <c r="G491" s="2" t="inlineStr">
        <is>
          <t>span</t>
        </is>
      </c>
      <c r="H491" s="2" t="inlineStr">
        <is>
          <t>Sh해양플라스틱Zero!적금 (자유적립식)</t>
        </is>
      </c>
      <c r="I491" s="2" t="inlineStr"/>
      <c r="J491" s="2" t="inlineStr">
        <is>
          <t>금융감독원 금융상품통합비교공시 Open API (finlife.fss.or.kr), 202608</t>
        </is>
      </c>
      <c r="K491" s="2" t="inlineStr">
        <is>
          <t>수협은행:10141109800021,10141114300011:intr_rate2(12개월)</t>
        </is>
      </c>
      <c r="L491" s="2" t="inlineStr">
        <is>
          <t>Sh월복리자유적금=2.9; Sh해양플라스틱Zero!적금 (자유적립식)=4.15</t>
        </is>
      </c>
    </row>
    <row r="492">
      <c r="A492" s="2" t="inlineStr">
        <is>
          <t>PRD-0491</t>
        </is>
      </c>
      <c r="B492" s="2" t="inlineStr">
        <is>
          <t>공시형</t>
        </is>
      </c>
      <c r="C492" s="2" t="inlineStr">
        <is>
          <t>예금</t>
        </is>
      </c>
      <c r="D492" s="2" t="inlineStr">
        <is>
          <t>적금</t>
        </is>
      </c>
      <c r="E492" s="2" t="inlineStr">
        <is>
          <t>compare_two_products</t>
        </is>
      </c>
      <c r="F492" s="2" t="inlineStr">
        <is>
          <t>수협은행의 'Sh해양플라스틱Zero!적금 (자유적립식)'과(와) '헤이(Hey)적금 (자유적립식)' 중 12개월 만기 최고 우대금리가 더 높은 상품은?</t>
        </is>
      </c>
      <c r="G492" s="2" t="inlineStr">
        <is>
          <t>span</t>
        </is>
      </c>
      <c r="H492" s="2" t="inlineStr">
        <is>
          <t>Sh해양플라스틱Zero!적금 (자유적립식)</t>
        </is>
      </c>
      <c r="I492" s="2" t="inlineStr"/>
      <c r="J492" s="2" t="inlineStr">
        <is>
          <t>금융감독원 금융상품통합비교공시 Open API (finlife.fss.or.kr), 202608</t>
        </is>
      </c>
      <c r="K492" s="2" t="inlineStr">
        <is>
          <t>수협은행:10141114300011,10141114700041:intr_rate2(12개월)</t>
        </is>
      </c>
      <c r="L492" s="2" t="inlineStr">
        <is>
          <t>Sh해양플라스틱Zero!적금 (자유적립식)=4.15; 헤이(Hey)적금 (자유적립식)=4.1</t>
        </is>
      </c>
    </row>
    <row r="493">
      <c r="A493" s="2" t="inlineStr">
        <is>
          <t>PRD-0492</t>
        </is>
      </c>
      <c r="B493" s="2" t="inlineStr">
        <is>
          <t>공시형</t>
        </is>
      </c>
      <c r="C493" s="2" t="inlineStr">
        <is>
          <t>예금</t>
        </is>
      </c>
      <c r="D493" s="2" t="inlineStr">
        <is>
          <t>정기예금</t>
        </is>
      </c>
      <c r="E493" s="2" t="inlineStr">
        <is>
          <t>compare_two_products</t>
        </is>
      </c>
      <c r="F493" s="2" t="inlineStr">
        <is>
          <t>신한은행의 '신한My플러스 정기예금'과 '쏠편한 정기예금' 중 12개월 만기 최고 우대금리가 더 높은 상품은?</t>
        </is>
      </c>
      <c r="G493" s="2" t="inlineStr">
        <is>
          <t>span</t>
        </is>
      </c>
      <c r="H493" s="2" t="inlineStr">
        <is>
          <t>신한My플러스 정기예금</t>
        </is>
      </c>
      <c r="I493" s="2" t="inlineStr"/>
      <c r="J493" s="2" t="inlineStr">
        <is>
          <t>금융감독원 금융상품통합비교공시 Open API (finlife.fss.or.kr), 202608</t>
        </is>
      </c>
      <c r="K493" s="2" t="inlineStr">
        <is>
          <t>신한은행:207-0134-16,207-0135-12:intr_rate2(12개월)</t>
        </is>
      </c>
      <c r="L493" s="2" t="inlineStr">
        <is>
          <t>신한My플러스 정기예금=3.3; 쏠편한 정기예금=3.2</t>
        </is>
      </c>
    </row>
    <row r="494">
      <c r="A494" s="2" t="inlineStr">
        <is>
          <t>PRD-0493</t>
        </is>
      </c>
      <c r="B494" s="2" t="inlineStr">
        <is>
          <t>공시형</t>
        </is>
      </c>
      <c r="C494" s="2" t="inlineStr">
        <is>
          <t>예금</t>
        </is>
      </c>
      <c r="D494" s="2" t="inlineStr">
        <is>
          <t>적금</t>
        </is>
      </c>
      <c r="E494" s="2" t="inlineStr">
        <is>
          <t>compare_two_products</t>
        </is>
      </c>
      <c r="F494" s="2" t="inlineStr">
        <is>
          <t>우리은행의 '우리SUPER주거래적금'과 'WON적금' 중 12개월 만기 최고 우대금리가 더 높은 상품은?</t>
        </is>
      </c>
      <c r="G494" s="2" t="inlineStr">
        <is>
          <t>span</t>
        </is>
      </c>
      <c r="H494" s="2" t="inlineStr">
        <is>
          <t>우리SUPER주거래적금</t>
        </is>
      </c>
      <c r="I494" s="2" t="inlineStr"/>
      <c r="J494" s="2" t="inlineStr">
        <is>
          <t>금융감독원 금융상품통합비교공시 Open API (finlife.fss.or.kr), 202608</t>
        </is>
      </c>
      <c r="K494" s="2" t="inlineStr">
        <is>
          <t>우리은행:WR0001F,WR0001L:intr_rate2(12개월)</t>
        </is>
      </c>
      <c r="L494" s="2" t="inlineStr">
        <is>
          <t>우리SUPER주거래적금=3.85; WON적금=3.4</t>
        </is>
      </c>
    </row>
    <row r="495">
      <c r="A495" s="2" t="inlineStr">
        <is>
          <t>PRD-0494</t>
        </is>
      </c>
      <c r="B495" s="2" t="inlineStr">
        <is>
          <t>공시형</t>
        </is>
      </c>
      <c r="C495" s="2" t="inlineStr">
        <is>
          <t>예금</t>
        </is>
      </c>
      <c r="D495" s="2" t="inlineStr">
        <is>
          <t>정기예금</t>
        </is>
      </c>
      <c r="E495" s="2" t="inlineStr">
        <is>
          <t>compare_two_products</t>
        </is>
      </c>
      <c r="F495" s="2" t="inlineStr">
        <is>
          <t>전북은행의 'JB 다이렉트예금통장 (만기일시지급식)'과(와) 'JB 123 정기예금 (만기일시지급식)' 중 12개월 만기 최고 우대금리가 더 높은 상품은?</t>
        </is>
      </c>
      <c r="G495" s="2" t="inlineStr">
        <is>
          <t>span</t>
        </is>
      </c>
      <c r="H495" s="2" t="inlineStr">
        <is>
          <t>JB 123 정기예금 (만기일시지급식)</t>
        </is>
      </c>
      <c r="I495" s="2" t="inlineStr"/>
      <c r="J495" s="2" t="inlineStr">
        <is>
          <t>금융감독원 금융상품통합비교공시 Open API (finlife.fss.or.kr), 202608</t>
        </is>
      </c>
      <c r="K495" s="2" t="inlineStr">
        <is>
          <t>전북은행:10-01-20-024-0046-0000,10-01-20-024-0059-0000:intr_rate2(12개월)</t>
        </is>
      </c>
      <c r="L495" s="2" t="inlineStr">
        <is>
          <t>JB 다이렉트예금통장 (만기일시지급식)=3.76; JB 123 정기예금 (만기일시지급식)=3.81</t>
        </is>
      </c>
    </row>
    <row r="496">
      <c r="A496" s="2" t="inlineStr">
        <is>
          <t>PRD-0495</t>
        </is>
      </c>
      <c r="B496" s="2" t="inlineStr">
        <is>
          <t>공시형</t>
        </is>
      </c>
      <c r="C496" s="2" t="inlineStr">
        <is>
          <t>예금</t>
        </is>
      </c>
      <c r="D496" s="2" t="inlineStr">
        <is>
          <t>정기예금</t>
        </is>
      </c>
      <c r="E496" s="2" t="inlineStr">
        <is>
          <t>compare_two_products</t>
        </is>
      </c>
      <c r="F496" s="2" t="inlineStr">
        <is>
          <t>전북은행의 'JB 123 정기예금 (만기일시지급식)'과(와) '내맘 쏙 정기예금' 중 12개월 만기 최고 우대금리가 더 높은 상품은?</t>
        </is>
      </c>
      <c r="G496" s="2" t="inlineStr">
        <is>
          <t>span</t>
        </is>
      </c>
      <c r="H496" s="2" t="inlineStr">
        <is>
          <t>JB 123 정기예금 (만기일시지급식)</t>
        </is>
      </c>
      <c r="I496" s="2" t="inlineStr"/>
      <c r="J496" s="2" t="inlineStr">
        <is>
          <t>금융감독원 금융상품통합비교공시 Open API (finlife.fss.or.kr), 202608</t>
        </is>
      </c>
      <c r="K496" s="2" t="inlineStr">
        <is>
          <t>전북은행:10-01-20-024-0059-0000,10-01-20-024-0063-0000:intr_rate2(12개월)</t>
        </is>
      </c>
      <c r="L496" s="2" t="inlineStr">
        <is>
          <t>JB 123 정기예금 (만기일시지급식)=3.81; 내맘 쏙 정기예금=3</t>
        </is>
      </c>
    </row>
    <row r="497">
      <c r="A497" s="2" t="inlineStr">
        <is>
          <t>PRD-0496</t>
        </is>
      </c>
      <c r="B497" s="2" t="inlineStr">
        <is>
          <t>공시형</t>
        </is>
      </c>
      <c r="C497" s="2" t="inlineStr">
        <is>
          <t>예금</t>
        </is>
      </c>
      <c r="D497" s="2" t="inlineStr">
        <is>
          <t>적금</t>
        </is>
      </c>
      <c r="E497" s="2" t="inlineStr">
        <is>
          <t>compare_two_products</t>
        </is>
      </c>
      <c r="F497" s="2" t="inlineStr">
        <is>
          <t>12개월 만기 최고 우대금리 기준으로, 전북은행의 'JB 다이렉트적금(자유적립식)'과(와) 'JB 다이렉트적금(정액적립식)' 중 어느 상품이 유리한가?</t>
        </is>
      </c>
      <c r="G497" s="2" t="inlineStr">
        <is>
          <t>span</t>
        </is>
      </c>
      <c r="H497" s="2" t="inlineStr">
        <is>
          <t>JB 다이렉트적금(정액적립식)</t>
        </is>
      </c>
      <c r="I497" s="2" t="inlineStr"/>
      <c r="J497" s="2" t="inlineStr">
        <is>
          <t>금융감독원 금융상품통합비교공시 Open API (finlife.fss.or.kr), 202608</t>
        </is>
      </c>
      <c r="K497" s="2" t="inlineStr">
        <is>
          <t>전북은행:10-01-30-031-0018-0000,10-01-30-031-0036:intr_rate2(12개월)</t>
        </is>
      </c>
      <c r="L497" s="2" t="inlineStr">
        <is>
          <t>JB 다이렉트적금(자유적립식)=3.6; JB 다이렉트적금(정액적립식)=3.7</t>
        </is>
      </c>
    </row>
    <row r="498">
      <c r="A498" s="2" t="inlineStr">
        <is>
          <t>PRD-0497</t>
        </is>
      </c>
      <c r="B498" s="2" t="inlineStr">
        <is>
          <t>공시형</t>
        </is>
      </c>
      <c r="C498" s="2" t="inlineStr">
        <is>
          <t>예금</t>
        </is>
      </c>
      <c r="D498" s="2" t="inlineStr">
        <is>
          <t>정기예금</t>
        </is>
      </c>
      <c r="E498" s="2" t="inlineStr">
        <is>
          <t>compare_two_products</t>
        </is>
      </c>
      <c r="F498" s="2" t="inlineStr">
        <is>
          <t>제주은행의 두 상품 '제주Dream 정기예금 (개인/만기 지급식)'과(와) 'J정기예금 (만기지급식)'을(를) 비교하면 12개월 만기 최고 우대금리가 높은 쪽은?</t>
        </is>
      </c>
      <c r="G498" s="2" t="inlineStr">
        <is>
          <t>span</t>
        </is>
      </c>
      <c r="H498" s="2" t="inlineStr">
        <is>
          <t>J정기예금 (만기지급식)</t>
        </is>
      </c>
      <c r="I498" s="2" t="inlineStr"/>
      <c r="J498" s="2" t="inlineStr">
        <is>
          <t>금융감독원 금융상품통합비교공시 Open API (finlife.fss.or.kr), 202608</t>
        </is>
      </c>
      <c r="K498" s="2" t="inlineStr">
        <is>
          <t>제주은행:101272000006,101272000057:intr_rate2(12개월)</t>
        </is>
      </c>
      <c r="L498" s="2" t="inlineStr">
        <is>
          <t>제주Dream 정기예금 (개인/만기 지급식)=2.4; J정기예금 (만기지급식)=3.8</t>
        </is>
      </c>
    </row>
    <row r="499">
      <c r="A499" s="2" t="inlineStr">
        <is>
          <t>PRD-0498</t>
        </is>
      </c>
      <c r="B499" s="2" t="inlineStr">
        <is>
          <t>공시형</t>
        </is>
      </c>
      <c r="C499" s="2" t="inlineStr">
        <is>
          <t>예금</t>
        </is>
      </c>
      <c r="D499" s="2" t="inlineStr">
        <is>
          <t>정기예금</t>
        </is>
      </c>
      <c r="E499" s="2" t="inlineStr">
        <is>
          <t>compare_two_products</t>
        </is>
      </c>
      <c r="F499" s="2" t="inlineStr">
        <is>
          <t>12개월 만기 최고 우대금리 기준으로, 제주은행의 'J정기예금 (만기지급식)'과(와) '스마일드림 정기예금 (개인/선이자 지급식)' 중 어느 상품이 유리한가?</t>
        </is>
      </c>
      <c r="G499" s="2" t="inlineStr">
        <is>
          <t>span</t>
        </is>
      </c>
      <c r="H499" s="2" t="inlineStr">
        <is>
          <t>J정기예금 (만기지급식)</t>
        </is>
      </c>
      <c r="I499" s="2" t="inlineStr"/>
      <c r="J499" s="2" t="inlineStr">
        <is>
          <t>금융감독원 금융상품통합비교공시 Open API (finlife.fss.or.kr), 202608</t>
        </is>
      </c>
      <c r="K499" s="2" t="inlineStr">
        <is>
          <t>제주은행:101272000057,101272000058:intr_rate2(12개월)</t>
        </is>
      </c>
      <c r="L499" s="2" t="inlineStr">
        <is>
          <t>J정기예금 (만기지급식)=3.8; 스마일드림 정기예금 (개인/선이자 지급식)=2.85</t>
        </is>
      </c>
    </row>
    <row r="500">
      <c r="A500" s="2" t="inlineStr">
        <is>
          <t>PRD-0499</t>
        </is>
      </c>
      <c r="B500" s="2" t="inlineStr">
        <is>
          <t>공시형</t>
        </is>
      </c>
      <c r="C500" s="2" t="inlineStr">
        <is>
          <t>예금</t>
        </is>
      </c>
      <c r="D500" s="2" t="inlineStr">
        <is>
          <t>적금</t>
        </is>
      </c>
      <c r="E500" s="2" t="inlineStr">
        <is>
          <t>compare_two_products</t>
        </is>
      </c>
      <c r="F500" s="2" t="inlineStr">
        <is>
          <t>제주은행의 'jbank 저금통적금'과 'MZ 플랜적금' 중 12개월 만기 최고 우대금리가 더 높은 상품은?</t>
        </is>
      </c>
      <c r="G500" s="2" t="inlineStr">
        <is>
          <t>span</t>
        </is>
      </c>
      <c r="H500" s="2" t="inlineStr">
        <is>
          <t>MZ 플랜적금</t>
        </is>
      </c>
      <c r="I500" s="2" t="inlineStr"/>
      <c r="J500" s="2" t="inlineStr">
        <is>
          <t>금융감독원 금융상품통합비교공시 Open API (finlife.fss.or.kr), 202608</t>
        </is>
      </c>
      <c r="K500" s="2" t="inlineStr">
        <is>
          <t>제주은행:220002101,220002501:intr_rate2(12개월)</t>
        </is>
      </c>
      <c r="L500" s="2" t="inlineStr">
        <is>
          <t>jbank 저금통적금=4.7; MZ 플랜적금=4.95</t>
        </is>
      </c>
    </row>
    <row r="501">
      <c r="A501" s="2" t="inlineStr">
        <is>
          <t>PRD-0500</t>
        </is>
      </c>
      <c r="B501" s="2" t="inlineStr">
        <is>
          <t>공시형</t>
        </is>
      </c>
      <c r="C501" s="2" t="inlineStr">
        <is>
          <t>예금</t>
        </is>
      </c>
      <c r="D501" s="2" t="inlineStr">
        <is>
          <t>적금</t>
        </is>
      </c>
      <c r="E501" s="2" t="inlineStr">
        <is>
          <t>compare_two_products</t>
        </is>
      </c>
      <c r="F501" s="2" t="inlineStr">
        <is>
          <t>제주은행의 'MZ 플랜적금'과 '사이버우대매일부금' 중 12개월 만기 최고 우대금리가 더 높은 상품은?</t>
        </is>
      </c>
      <c r="G501" s="2" t="inlineStr">
        <is>
          <t>span</t>
        </is>
      </c>
      <c r="H501" s="2" t="inlineStr">
        <is>
          <t>MZ 플랜적금</t>
        </is>
      </c>
      <c r="I501" s="2" t="inlineStr"/>
      <c r="J501" s="2" t="inlineStr">
        <is>
          <t>금융감독원 금융상품통합비교공시 Open API (finlife.fss.or.kr), 202608</t>
        </is>
      </c>
      <c r="K501" s="2" t="inlineStr">
        <is>
          <t>제주은행:220002501,220002701:intr_rate2(12개월)</t>
        </is>
      </c>
      <c r="L501" s="2" t="inlineStr">
        <is>
          <t>MZ 플랜적금=4.95; 사이버우대매일부금=2.8</t>
        </is>
      </c>
    </row>
    <row r="502">
      <c r="A502" s="2" t="inlineStr">
        <is>
          <t>PRD-0501</t>
        </is>
      </c>
      <c r="B502" s="2" t="inlineStr">
        <is>
          <t>공시형</t>
        </is>
      </c>
      <c r="C502" s="2" t="inlineStr">
        <is>
          <t>예금</t>
        </is>
      </c>
      <c r="D502" s="2" t="inlineStr">
        <is>
          <t>적금</t>
        </is>
      </c>
      <c r="E502" s="2" t="inlineStr">
        <is>
          <t>compare_two_products</t>
        </is>
      </c>
      <c r="F502" s="2" t="inlineStr">
        <is>
          <t>주식회사 카카오뱅크의 두 상품 '카카오뱅크 자유적금'과 '카카오뱅크 우리아이적금'을 비교하면 12개월 만기 최고 우대금리가 높은 쪽은?</t>
        </is>
      </c>
      <c r="G502" s="2" t="inlineStr">
        <is>
          <t>span</t>
        </is>
      </c>
      <c r="H502" s="2" t="inlineStr">
        <is>
          <t>카카오뱅크 우리아이적금</t>
        </is>
      </c>
      <c r="I502" s="2" t="inlineStr"/>
      <c r="J502" s="2" t="inlineStr">
        <is>
          <t>금융감독원 금융상품통합비교공시 Open API (finlife.fss.or.kr), 202608</t>
        </is>
      </c>
      <c r="K502" s="2" t="inlineStr">
        <is>
          <t>주식회사 카카오뱅크:10-01-30-355-0002,10-01-30-355-0007:intr_rate2(12개월)</t>
        </is>
      </c>
      <c r="L502" s="2" t="inlineStr">
        <is>
          <t>카카오뱅크 자유적금=3.85; 카카오뱅크 우리아이적금=7</t>
        </is>
      </c>
    </row>
    <row r="503">
      <c r="A503" s="2" t="inlineStr">
        <is>
          <t>PRD-0502</t>
        </is>
      </c>
      <c r="B503" s="2" t="inlineStr">
        <is>
          <t>공시형</t>
        </is>
      </c>
      <c r="C503" s="2" t="inlineStr">
        <is>
          <t>예금</t>
        </is>
      </c>
      <c r="D503" s="2" t="inlineStr">
        <is>
          <t>적금</t>
        </is>
      </c>
      <c r="E503" s="2" t="inlineStr">
        <is>
          <t>compare_two_products</t>
        </is>
      </c>
      <c r="F503" s="2" t="inlineStr">
        <is>
          <t>주식회사 케이뱅크의 '코드K 자유적금'과 '데굴데굴 농장' 중 12개월 만기 최고 우대금리가 더 높은 상품은?</t>
        </is>
      </c>
      <c r="G503" s="2" t="inlineStr">
        <is>
          <t>span</t>
        </is>
      </c>
      <c r="H503" s="2" t="inlineStr">
        <is>
          <t>코드K 자유적금</t>
        </is>
      </c>
      <c r="I503" s="2" t="inlineStr"/>
      <c r="J503" s="2" t="inlineStr">
        <is>
          <t>금융감독원 금융상품통합비교공시 Open API (finlife.fss.or.kr), 202608</t>
        </is>
      </c>
      <c r="K503" s="2" t="inlineStr">
        <is>
          <t>주식회사 케이뱅크:01012000200000000003,01012000200000000005:intr_rate2(12개월)</t>
        </is>
      </c>
      <c r="L503" s="2" t="inlineStr">
        <is>
          <t>코드K 자유적금=3.7; 데굴데굴 농장=3</t>
        </is>
      </c>
    </row>
    <row r="504">
      <c r="A504" s="2" t="inlineStr">
        <is>
          <t>PRD-0503</t>
        </is>
      </c>
      <c r="B504" s="2" t="inlineStr">
        <is>
          <t>공시형</t>
        </is>
      </c>
      <c r="C504" s="2" t="inlineStr">
        <is>
          <t>예금</t>
        </is>
      </c>
      <c r="D504" s="2" t="inlineStr">
        <is>
          <t>적금</t>
        </is>
      </c>
      <c r="E504" s="2" t="inlineStr">
        <is>
          <t>compare_two_products</t>
        </is>
      </c>
      <c r="F504" s="2" t="inlineStr">
        <is>
          <t>주식회사 케이뱅크의 '데굴데굴 농장'과 '마이키즈 적금' 중 12개월 만기 최고 우대금리가 더 높은 상품은?</t>
        </is>
      </c>
      <c r="G504" s="2" t="inlineStr">
        <is>
          <t>span</t>
        </is>
      </c>
      <c r="H504" s="2" t="inlineStr">
        <is>
          <t>마이키즈 적금</t>
        </is>
      </c>
      <c r="I504" s="2" t="inlineStr"/>
      <c r="J504" s="2" t="inlineStr">
        <is>
          <t>금융감독원 금융상품통합비교공시 Open API (finlife.fss.or.kr), 202608</t>
        </is>
      </c>
      <c r="K504" s="2" t="inlineStr">
        <is>
          <t>주식회사 케이뱅크:01012000200000000005,01012000200000000006:intr_rate2(12개월)</t>
        </is>
      </c>
      <c r="L504" s="2" t="inlineStr">
        <is>
          <t>데굴데굴 농장=3; 마이키즈 적금=7</t>
        </is>
      </c>
    </row>
    <row r="505">
      <c r="A505" s="2" t="inlineStr">
        <is>
          <t>PRD-0504</t>
        </is>
      </c>
      <c r="B505" s="2" t="inlineStr">
        <is>
          <t>공시형</t>
        </is>
      </c>
      <c r="C505" s="2" t="inlineStr">
        <is>
          <t>예금</t>
        </is>
      </c>
      <c r="D505" s="2" t="inlineStr">
        <is>
          <t>적금</t>
        </is>
      </c>
      <c r="E505" s="2" t="inlineStr">
        <is>
          <t>compare_two_products</t>
        </is>
      </c>
      <c r="F505" s="2" t="inlineStr">
        <is>
          <t>주식회사 케이뱅크의 두 상품 '마이키즈 적금'과 '주거래우대 자유적금'을 비교하면 12개월 만기 최고 우대금리가 높은 쪽은?</t>
        </is>
      </c>
      <c r="G505" s="2" t="inlineStr">
        <is>
          <t>span</t>
        </is>
      </c>
      <c r="H505" s="2" t="inlineStr">
        <is>
          <t>마이키즈 적금</t>
        </is>
      </c>
      <c r="I505" s="2" t="inlineStr"/>
      <c r="J505" s="2" t="inlineStr">
        <is>
          <t>금융감독원 금융상품통합비교공시 Open API (finlife.fss.or.kr), 202608</t>
        </is>
      </c>
      <c r="K505" s="2" t="inlineStr">
        <is>
          <t>주식회사 케이뱅크:01012000200000000006,01012000210000000000:intr_rate2(12개월)</t>
        </is>
      </c>
      <c r="L505" s="2" t="inlineStr">
        <is>
          <t>마이키즈 적금=7; 주거래우대 자유적금=4.2</t>
        </is>
      </c>
    </row>
    <row r="506">
      <c r="A506" s="2" t="inlineStr">
        <is>
          <t>PRD-0505</t>
        </is>
      </c>
      <c r="B506" s="2" t="inlineStr">
        <is>
          <t>공시형</t>
        </is>
      </c>
      <c r="C506" s="2" t="inlineStr">
        <is>
          <t>예금</t>
        </is>
      </c>
      <c r="D506" s="2" t="inlineStr">
        <is>
          <t>정기예금</t>
        </is>
      </c>
      <c r="E506" s="2" t="inlineStr">
        <is>
          <t>agg_count</t>
        </is>
      </c>
      <c r="F506" s="2" t="inlineStr">
        <is>
          <t>경남은행이 공시한 정기예금 상품은 모두 몇 개인가?</t>
        </is>
      </c>
      <c r="G506" s="2" t="inlineStr">
        <is>
          <t>numeric</t>
        </is>
      </c>
      <c r="H506" s="2" t="inlineStr">
        <is>
          <t>3</t>
        </is>
      </c>
      <c r="I506" s="2" t="inlineStr">
        <is>
          <t>개</t>
        </is>
      </c>
      <c r="J506" s="2" t="inlineStr">
        <is>
          <t>금융감독원 금융상품통합비교공시 Open API (finlife.fss.or.kr), 202608</t>
        </is>
      </c>
      <c r="K506" s="2" t="inlineStr">
        <is>
          <t>경남은행:deposit:baseList</t>
        </is>
      </c>
      <c r="L506" s="2" t="inlineStr">
        <is>
          <t>BNK더조은정기예금; The든든예금(시즌2); The파트너예금</t>
        </is>
      </c>
    </row>
    <row r="507">
      <c r="A507" s="2" t="inlineStr">
        <is>
          <t>PRD-0506</t>
        </is>
      </c>
      <c r="B507" s="2" t="inlineStr">
        <is>
          <t>공시형</t>
        </is>
      </c>
      <c r="C507" s="2" t="inlineStr">
        <is>
          <t>대출</t>
        </is>
      </c>
      <c r="D507" s="2" t="inlineStr">
        <is>
          <t>주택담보대출</t>
        </is>
      </c>
      <c r="E507" s="2" t="inlineStr">
        <is>
          <t>agg_count</t>
        </is>
      </c>
      <c r="F507" s="2" t="inlineStr">
        <is>
          <t>현재 공시 기준으로 경남은행의 주택담보대출 상품 수는 몇 개인가?</t>
        </is>
      </c>
      <c r="G507" s="2" t="inlineStr">
        <is>
          <t>numeric</t>
        </is>
      </c>
      <c r="H507" s="2" t="inlineStr">
        <is>
          <t>2</t>
        </is>
      </c>
      <c r="I507" s="2" t="inlineStr">
        <is>
          <t>개</t>
        </is>
      </c>
      <c r="J507" s="2" t="inlineStr">
        <is>
          <t>금융감독원 금융상품통합비교공시 Open API (finlife.fss.or.kr), 202608</t>
        </is>
      </c>
      <c r="K507" s="2" t="inlineStr">
        <is>
          <t>경남은행:mortgage:baseList</t>
        </is>
      </c>
      <c r="L507" s="2" t="inlineStr">
        <is>
          <t>BNK모바일주택담보대출; 집집마다 도움대출II</t>
        </is>
      </c>
    </row>
    <row r="508">
      <c r="A508" s="2" t="inlineStr">
        <is>
          <t>PRD-0507</t>
        </is>
      </c>
      <c r="B508" s="2" t="inlineStr">
        <is>
          <t>공시형</t>
        </is>
      </c>
      <c r="C508" s="2" t="inlineStr">
        <is>
          <t>대출</t>
        </is>
      </c>
      <c r="D508" s="2" t="inlineStr">
        <is>
          <t>전세자금대출</t>
        </is>
      </c>
      <c r="E508" s="2" t="inlineStr">
        <is>
          <t>agg_count</t>
        </is>
      </c>
      <c r="F508" s="2" t="inlineStr">
        <is>
          <t>경남은행의 전세자금대출 상품을 전부 세면 몇 개인가?</t>
        </is>
      </c>
      <c r="G508" s="2" t="inlineStr">
        <is>
          <t>numeric</t>
        </is>
      </c>
      <c r="H508" s="2" t="inlineStr">
        <is>
          <t>4</t>
        </is>
      </c>
      <c r="I508" s="2" t="inlineStr">
        <is>
          <t>개</t>
        </is>
      </c>
      <c r="J508" s="2" t="inlineStr">
        <is>
          <t>금융감독원 금융상품통합비교공시 Open API (finlife.fss.or.kr), 202608</t>
        </is>
      </c>
      <c r="K508" s="2" t="inlineStr">
        <is>
          <t>경남은행:rent:baseList</t>
        </is>
      </c>
      <c r="L508" s="2" t="inlineStr">
        <is>
          <t>고정금리 전세자금대출(주택금융공사); 모바일전세자금대출 (주택금융공사); 모바일전세자금대출(서울보증보험); 전세자금대출(주택금융공사)</t>
        </is>
      </c>
    </row>
    <row r="509">
      <c r="A509" s="2" t="inlineStr">
        <is>
          <t>PRD-0508</t>
        </is>
      </c>
      <c r="B509" s="2" t="inlineStr">
        <is>
          <t>공시형</t>
        </is>
      </c>
      <c r="C509" s="2" t="inlineStr">
        <is>
          <t>예금</t>
        </is>
      </c>
      <c r="D509" s="2" t="inlineStr">
        <is>
          <t>적금</t>
        </is>
      </c>
      <c r="E509" s="2" t="inlineStr">
        <is>
          <t>agg_count</t>
        </is>
      </c>
      <c r="F509" s="2" t="inlineStr">
        <is>
          <t>경남은행의 적금 상품을 전부 세면 몇 개인가?</t>
        </is>
      </c>
      <c r="G509" s="2" t="inlineStr">
        <is>
          <t>numeric</t>
        </is>
      </c>
      <c r="H509" s="2" t="inlineStr">
        <is>
          <t>6</t>
        </is>
      </c>
      <c r="I509" s="2" t="inlineStr">
        <is>
          <t>개</t>
        </is>
      </c>
      <c r="J509" s="2" t="inlineStr">
        <is>
          <t>금융감독원 금융상품통합비교공시 Open API (finlife.fss.or.kr), 202608</t>
        </is>
      </c>
      <c r="K509" s="2" t="inlineStr">
        <is>
          <t>경남은행:saving:baseList</t>
        </is>
      </c>
      <c r="L509" s="2" t="inlineStr">
        <is>
          <t>BNK 위더스자유적금; BNK더조은자유적금; 오늘도세이브적금; 오면우대! 하면우대! 정기적금; 주거래 프리미엄 적금; 행복 DREAM 적금</t>
        </is>
      </c>
    </row>
    <row r="510">
      <c r="A510" s="2" t="inlineStr">
        <is>
          <t>PRD-0509</t>
        </is>
      </c>
      <c r="B510" s="2" t="inlineStr">
        <is>
          <t>공시형</t>
        </is>
      </c>
      <c r="C510" s="2" t="inlineStr">
        <is>
          <t>예금</t>
        </is>
      </c>
      <c r="D510" s="2" t="inlineStr">
        <is>
          <t>정기예금</t>
        </is>
      </c>
      <c r="E510" s="2" t="inlineStr">
        <is>
          <t>agg_count</t>
        </is>
      </c>
      <c r="F510" s="2" t="inlineStr">
        <is>
          <t>현재 공시 기준으로 광주은행의 정기예금 상품 수는 몇 개인가?</t>
        </is>
      </c>
      <c r="G510" s="2" t="inlineStr">
        <is>
          <t>numeric</t>
        </is>
      </c>
      <c r="H510" s="2" t="inlineStr">
        <is>
          <t>4</t>
        </is>
      </c>
      <c r="I510" s="2" t="inlineStr">
        <is>
          <t>개</t>
        </is>
      </c>
      <c r="J510" s="2" t="inlineStr">
        <is>
          <t>금융감독원 금융상품통합비교공시 Open API (finlife.fss.or.kr), 202608</t>
        </is>
      </c>
      <c r="K510" s="2" t="inlineStr">
        <is>
          <t>광주은행:deposit:baseList</t>
        </is>
      </c>
      <c r="L510" s="2" t="inlineStr">
        <is>
          <t>The플러스예금; 굿스타트예금; 미즈월복리정기예금; 스마트모아Dream정기예금</t>
        </is>
      </c>
    </row>
    <row r="511">
      <c r="A511" s="2" t="inlineStr">
        <is>
          <t>PRD-0510</t>
        </is>
      </c>
      <c r="B511" s="2" t="inlineStr">
        <is>
          <t>공시형</t>
        </is>
      </c>
      <c r="C511" s="2" t="inlineStr">
        <is>
          <t>예금</t>
        </is>
      </c>
      <c r="D511" s="2" t="inlineStr">
        <is>
          <t>적금</t>
        </is>
      </c>
      <c r="E511" s="2" t="inlineStr">
        <is>
          <t>agg_count</t>
        </is>
      </c>
      <c r="F511" s="2" t="inlineStr">
        <is>
          <t>광주은행의 적금 상품을 전부 세면 몇 개인가?</t>
        </is>
      </c>
      <c r="G511" s="2" t="inlineStr">
        <is>
          <t>numeric</t>
        </is>
      </c>
      <c r="H511" s="2" t="inlineStr">
        <is>
          <t>3</t>
        </is>
      </c>
      <c r="I511" s="2" t="inlineStr">
        <is>
          <t>개</t>
        </is>
      </c>
      <c r="J511" s="2" t="inlineStr">
        <is>
          <t>금융감독원 금융상품통합비교공시 Open API (finlife.fss.or.kr), 202608</t>
        </is>
      </c>
      <c r="K511" s="2" t="inlineStr">
        <is>
          <t>광주은행:saving:baseList</t>
        </is>
      </c>
      <c r="L511" s="2" t="inlineStr">
        <is>
          <t>VIP플러스적금; 여행스케치_남도투어적금; 해피라이프_여행스케치적금V</t>
        </is>
      </c>
    </row>
    <row r="512">
      <c r="A512" s="2" t="inlineStr">
        <is>
          <t>PRD-0511</t>
        </is>
      </c>
      <c r="B512" s="2" t="inlineStr">
        <is>
          <t>공시형</t>
        </is>
      </c>
      <c r="C512" s="2" t="inlineStr">
        <is>
          <t>대출</t>
        </is>
      </c>
      <c r="D512" s="2" t="inlineStr">
        <is>
          <t>주택담보대출</t>
        </is>
      </c>
      <c r="E512" s="2" t="inlineStr">
        <is>
          <t>agg_count</t>
        </is>
      </c>
      <c r="F512" s="2" t="inlineStr">
        <is>
          <t>국민은행이 공시한 주택담보대출 상품은 모두 몇 개인가?</t>
        </is>
      </c>
      <c r="G512" s="2" t="inlineStr">
        <is>
          <t>numeric</t>
        </is>
      </c>
      <c r="H512" s="2" t="inlineStr">
        <is>
          <t>2</t>
        </is>
      </c>
      <c r="I512" s="2" t="inlineStr">
        <is>
          <t>개</t>
        </is>
      </c>
      <c r="J512" s="2" t="inlineStr">
        <is>
          <t>금융감독원 금융상품통합비교공시 Open API (finlife.fss.or.kr), 202608</t>
        </is>
      </c>
      <c r="K512" s="2" t="inlineStr">
        <is>
          <t>국민은행:mortgage:baseList</t>
        </is>
      </c>
      <c r="L512" s="2" t="inlineStr">
        <is>
          <t>KB스타 아파트담보대출 혼합금리(주택자금); KB주택담보대출변동 (일반자금)</t>
        </is>
      </c>
    </row>
    <row r="513">
      <c r="A513" s="2" t="inlineStr">
        <is>
          <t>PRD-0512</t>
        </is>
      </c>
      <c r="B513" s="2" t="inlineStr">
        <is>
          <t>공시형</t>
        </is>
      </c>
      <c r="C513" s="2" t="inlineStr">
        <is>
          <t>대출</t>
        </is>
      </c>
      <c r="D513" s="2" t="inlineStr">
        <is>
          <t>전세자금대출</t>
        </is>
      </c>
      <c r="E513" s="2" t="inlineStr">
        <is>
          <t>agg_count</t>
        </is>
      </c>
      <c r="F513" s="2" t="inlineStr">
        <is>
          <t>현재 공시 기준으로 국민은행의 전세자금대출 상품 수는 몇 개인가?</t>
        </is>
      </c>
      <c r="G513" s="2" t="inlineStr">
        <is>
          <t>numeric</t>
        </is>
      </c>
      <c r="H513" s="2" t="inlineStr">
        <is>
          <t>2</t>
        </is>
      </c>
      <c r="I513" s="2" t="inlineStr">
        <is>
          <t>개</t>
        </is>
      </c>
      <c r="J513" s="2" t="inlineStr">
        <is>
          <t>금융감독원 금융상품통합비교공시 Open API (finlife.fss.or.kr), 202608</t>
        </is>
      </c>
      <c r="K513" s="2" t="inlineStr">
        <is>
          <t>국민은행:rent:baseList</t>
        </is>
      </c>
      <c r="L513" s="2" t="inlineStr">
        <is>
          <t>KB주택전세자금대출; KB플러스전세자금대출</t>
        </is>
      </c>
    </row>
    <row r="514">
      <c r="A514" s="2" t="inlineStr">
        <is>
          <t>PRD-0513</t>
        </is>
      </c>
      <c r="B514" s="2" t="inlineStr">
        <is>
          <t>공시형</t>
        </is>
      </c>
      <c r="C514" s="2" t="inlineStr">
        <is>
          <t>예금</t>
        </is>
      </c>
      <c r="D514" s="2" t="inlineStr">
        <is>
          <t>적금</t>
        </is>
      </c>
      <c r="E514" s="2" t="inlineStr">
        <is>
          <t>agg_count</t>
        </is>
      </c>
      <c r="F514" s="2" t="inlineStr">
        <is>
          <t>국민은행이 공시한 적금 상품은 모두 몇 개인가?</t>
        </is>
      </c>
      <c r="G514" s="2" t="inlineStr">
        <is>
          <t>numeric</t>
        </is>
      </c>
      <c r="H514" s="2" t="inlineStr">
        <is>
          <t>4</t>
        </is>
      </c>
      <c r="I514" s="2" t="inlineStr">
        <is>
          <t>개</t>
        </is>
      </c>
      <c r="J514" s="2" t="inlineStr">
        <is>
          <t>금융감독원 금융상품통합비교공시 Open API (finlife.fss.or.kr), 202608</t>
        </is>
      </c>
      <c r="K514" s="2" t="inlineStr">
        <is>
          <t>국민은행:saving:baseList</t>
        </is>
      </c>
      <c r="L514" s="2" t="inlineStr">
        <is>
          <t>KB 특★한 적금; KB국민프리미엄적금(정액); KB내맘대로적금; KB맑은하늘적금</t>
        </is>
      </c>
    </row>
    <row r="515">
      <c r="A515" s="2" t="inlineStr">
        <is>
          <t>PRD-0514</t>
        </is>
      </c>
      <c r="B515" s="2" t="inlineStr">
        <is>
          <t>공시형</t>
        </is>
      </c>
      <c r="C515" s="2" t="inlineStr">
        <is>
          <t>예금</t>
        </is>
      </c>
      <c r="D515" s="2" t="inlineStr">
        <is>
          <t>정기예금</t>
        </is>
      </c>
      <c r="E515" s="2" t="inlineStr">
        <is>
          <t>agg_count</t>
        </is>
      </c>
      <c r="F515" s="2" t="inlineStr">
        <is>
          <t>현재 공시 기준으로 농협은행주식회사의 정기예금 상품 수는 몇 개인가?</t>
        </is>
      </c>
      <c r="G515" s="2" t="inlineStr">
        <is>
          <t>numeric</t>
        </is>
      </c>
      <c r="H515" s="2" t="inlineStr">
        <is>
          <t>4</t>
        </is>
      </c>
      <c r="I515" s="2" t="inlineStr">
        <is>
          <t>개</t>
        </is>
      </c>
      <c r="J515" s="2" t="inlineStr">
        <is>
          <t>금융감독원 금융상품통합비교공시 Open API (finlife.fss.or.kr), 202608</t>
        </is>
      </c>
      <c r="K515" s="2" t="inlineStr">
        <is>
          <t>농협은행주식회사:deposit:baseList</t>
        </is>
      </c>
      <c r="L515" s="2" t="inlineStr">
        <is>
          <t>NH고향사랑기부예금; NH내가Green초록세상예금; NH올원e예금; NH왈츠회전예금 II</t>
        </is>
      </c>
    </row>
    <row r="516">
      <c r="A516" s="2" t="inlineStr">
        <is>
          <t>PRD-0515</t>
        </is>
      </c>
      <c r="B516" s="2" t="inlineStr">
        <is>
          <t>공시형</t>
        </is>
      </c>
      <c r="C516" s="2" t="inlineStr">
        <is>
          <t>대출</t>
        </is>
      </c>
      <c r="D516" s="2" t="inlineStr">
        <is>
          <t>주택담보대출</t>
        </is>
      </c>
      <c r="E516" s="2" t="inlineStr">
        <is>
          <t>agg_count</t>
        </is>
      </c>
      <c r="F516" s="2" t="inlineStr">
        <is>
          <t>현재 공시 기준으로 농협은행주식회사의 주택담보대출 상품 수는 몇 개인가?</t>
        </is>
      </c>
      <c r="G516" s="2" t="inlineStr">
        <is>
          <t>numeric</t>
        </is>
      </c>
      <c r="H516" s="2" t="inlineStr">
        <is>
          <t>2</t>
        </is>
      </c>
      <c r="I516" s="2" t="inlineStr">
        <is>
          <t>개</t>
        </is>
      </c>
      <c r="J516" s="2" t="inlineStr">
        <is>
          <t>금융감독원 금융상품통합비교공시 Open API (finlife.fss.or.kr), 202608</t>
        </is>
      </c>
      <c r="K516" s="2" t="inlineStr">
        <is>
          <t>농협은행주식회사:mortgage:baseList</t>
        </is>
      </c>
      <c r="L516" s="2" t="inlineStr">
        <is>
          <t>NH주택담보대출; 채움고정금리모기지론</t>
        </is>
      </c>
    </row>
    <row r="517">
      <c r="A517" s="2" t="inlineStr">
        <is>
          <t>PRD-0516</t>
        </is>
      </c>
      <c r="B517" s="2" t="inlineStr">
        <is>
          <t>공시형</t>
        </is>
      </c>
      <c r="C517" s="2" t="inlineStr">
        <is>
          <t>대출</t>
        </is>
      </c>
      <c r="D517" s="2" t="inlineStr">
        <is>
          <t>전세자금대출</t>
        </is>
      </c>
      <c r="E517" s="2" t="inlineStr">
        <is>
          <t>agg_count</t>
        </is>
      </c>
      <c r="F517" s="2" t="inlineStr">
        <is>
          <t>현재 공시 기준으로 농협은행주식회사의 전세자금대출 상품 수는 몇 개인가?</t>
        </is>
      </c>
      <c r="G517" s="2" t="inlineStr">
        <is>
          <t>numeric</t>
        </is>
      </c>
      <c r="H517" s="2" t="inlineStr">
        <is>
          <t>3</t>
        </is>
      </c>
      <c r="I517" s="2" t="inlineStr">
        <is>
          <t>개</t>
        </is>
      </c>
      <c r="J517" s="2" t="inlineStr">
        <is>
          <t>금융감독원 금융상품통합비교공시 Open API (finlife.fss.or.kr), 202608</t>
        </is>
      </c>
      <c r="K517" s="2" t="inlineStr">
        <is>
          <t>농협은행주식회사:rent:baseList</t>
        </is>
      </c>
      <c r="L517" s="2" t="inlineStr">
        <is>
          <t>NH전세대출(서울보증보험); NH전세대출(주택금융공사); NH전세대출(주택도시보증공사)</t>
        </is>
      </c>
    </row>
    <row r="518">
      <c r="A518" s="2" t="inlineStr">
        <is>
          <t>PRD-0517</t>
        </is>
      </c>
      <c r="B518" s="2" t="inlineStr">
        <is>
          <t>공시형</t>
        </is>
      </c>
      <c r="C518" s="2" t="inlineStr">
        <is>
          <t>예금</t>
        </is>
      </c>
      <c r="D518" s="2" t="inlineStr">
        <is>
          <t>적금</t>
        </is>
      </c>
      <c r="E518" s="2" t="inlineStr">
        <is>
          <t>agg_count</t>
        </is>
      </c>
      <c r="F518" s="2" t="inlineStr">
        <is>
          <t>현재 공시 기준으로 농협은행주식회사의 적금 상품 수는 몇 개인가?</t>
        </is>
      </c>
      <c r="G518" s="2" t="inlineStr">
        <is>
          <t>numeric</t>
        </is>
      </c>
      <c r="H518" s="2" t="inlineStr">
        <is>
          <t>5</t>
        </is>
      </c>
      <c r="I518" s="2" t="inlineStr">
        <is>
          <t>개</t>
        </is>
      </c>
      <c r="J518" s="2" t="inlineStr">
        <is>
          <t>금융감독원 금융상품통합비교공시 Open API (finlife.fss.or.kr), 202608</t>
        </is>
      </c>
      <c r="K518" s="2" t="inlineStr">
        <is>
          <t>농협은행주식회사:saving:baseList</t>
        </is>
      </c>
      <c r="L518" s="2" t="inlineStr">
        <is>
          <t>NH1934월복리적금; NH고향사랑기부적금; NH내가Green초록세상적금; NH올원e 미니적금; NH직장인월복리적금</t>
        </is>
      </c>
    </row>
    <row r="519">
      <c r="A519" s="2" t="inlineStr">
        <is>
          <t>PRD-0518</t>
        </is>
      </c>
      <c r="B519" s="2" t="inlineStr">
        <is>
          <t>공시형</t>
        </is>
      </c>
      <c r="C519" s="2" t="inlineStr">
        <is>
          <t>예금</t>
        </is>
      </c>
      <c r="D519" s="2" t="inlineStr">
        <is>
          <t>정기예금</t>
        </is>
      </c>
      <c r="E519" s="2" t="inlineStr">
        <is>
          <t>agg_count</t>
        </is>
      </c>
      <c r="F519" s="2" t="inlineStr">
        <is>
          <t>부산은행이 공시한 정기예금 상품은 모두 몇 개인가?</t>
        </is>
      </c>
      <c r="G519" s="2" t="inlineStr">
        <is>
          <t>numeric</t>
        </is>
      </c>
      <c r="H519" s="2" t="inlineStr">
        <is>
          <t>3</t>
        </is>
      </c>
      <c r="I519" s="2" t="inlineStr">
        <is>
          <t>개</t>
        </is>
      </c>
      <c r="J519" s="2" t="inlineStr">
        <is>
          <t>금융감독원 금융상품통합비교공시 Open API (finlife.fss.or.kr), 202608</t>
        </is>
      </c>
      <c r="K519" s="2" t="inlineStr">
        <is>
          <t>부산은행:deposit:baseList</t>
        </is>
      </c>
      <c r="L519" s="2" t="inlineStr">
        <is>
          <t>LIVE정기예금; 더(The) 레벨업 정기예금; 더(The) 특판 정기예금</t>
        </is>
      </c>
    </row>
    <row r="520">
      <c r="A520" s="2" t="inlineStr">
        <is>
          <t>PRD-0519</t>
        </is>
      </c>
      <c r="B520" s="2" t="inlineStr">
        <is>
          <t>공시형</t>
        </is>
      </c>
      <c r="C520" s="2" t="inlineStr">
        <is>
          <t>대출</t>
        </is>
      </c>
      <c r="D520" s="2" t="inlineStr">
        <is>
          <t>주택담보대출</t>
        </is>
      </c>
      <c r="E520" s="2" t="inlineStr">
        <is>
          <t>agg_count</t>
        </is>
      </c>
      <c r="F520" s="2" t="inlineStr">
        <is>
          <t>부산은행이 공시한 주택담보대출 상품은 모두 몇 개인가?</t>
        </is>
      </c>
      <c r="G520" s="2" t="inlineStr">
        <is>
          <t>numeric</t>
        </is>
      </c>
      <c r="H520" s="2" t="inlineStr">
        <is>
          <t>3</t>
        </is>
      </c>
      <c r="I520" s="2" t="inlineStr">
        <is>
          <t>개</t>
        </is>
      </c>
      <c r="J520" s="2" t="inlineStr">
        <is>
          <t>금융감독원 금융상품통합비교공시 Open API (finlife.fss.or.kr), 202608</t>
        </is>
      </c>
      <c r="K520" s="2" t="inlineStr">
        <is>
          <t>부산은행:mortgage:baseList</t>
        </is>
      </c>
      <c r="L520" s="2" t="inlineStr">
        <is>
          <t>BNK357금리안심모기지론; BNK행복스케치 모기지론; ONE주택담보대출</t>
        </is>
      </c>
    </row>
    <row r="521">
      <c r="A521" s="2" t="inlineStr">
        <is>
          <t>PRD-0520</t>
        </is>
      </c>
      <c r="B521" s="2" t="inlineStr">
        <is>
          <t>공시형</t>
        </is>
      </c>
      <c r="C521" s="2" t="inlineStr">
        <is>
          <t>대출</t>
        </is>
      </c>
      <c r="D521" s="2" t="inlineStr">
        <is>
          <t>전세자금대출</t>
        </is>
      </c>
      <c r="E521" s="2" t="inlineStr">
        <is>
          <t>agg_count</t>
        </is>
      </c>
      <c r="F521" s="2" t="inlineStr">
        <is>
          <t>현재 공시 기준으로 부산은행의 전세자금대출 상품 수는 몇 개인가?</t>
        </is>
      </c>
      <c r="G521" s="2" t="inlineStr">
        <is>
          <t>numeric</t>
        </is>
      </c>
      <c r="H521" s="2" t="inlineStr">
        <is>
          <t>3</t>
        </is>
      </c>
      <c r="I521" s="2" t="inlineStr">
        <is>
          <t>개</t>
        </is>
      </c>
      <c r="J521" s="2" t="inlineStr">
        <is>
          <t>금융감독원 금융상품통합비교공시 Open API (finlife.fss.or.kr), 202608</t>
        </is>
      </c>
      <c r="K521" s="2" t="inlineStr">
        <is>
          <t>부산은행:rent:baseList</t>
        </is>
      </c>
      <c r="L521" s="2" t="inlineStr">
        <is>
          <t>BNK전세안심대출; BNK프리미엄전세자금대출; BNK행복스케치전세자금대출</t>
        </is>
      </c>
    </row>
    <row r="522">
      <c r="A522" s="2" t="inlineStr">
        <is>
          <t>PRD-0521</t>
        </is>
      </c>
      <c r="B522" s="2" t="inlineStr">
        <is>
          <t>공시형</t>
        </is>
      </c>
      <c r="C522" s="2" t="inlineStr">
        <is>
          <t>예금</t>
        </is>
      </c>
      <c r="D522" s="2" t="inlineStr">
        <is>
          <t>적금</t>
        </is>
      </c>
      <c r="E522" s="2" t="inlineStr">
        <is>
          <t>agg_count</t>
        </is>
      </c>
      <c r="F522" s="2" t="inlineStr">
        <is>
          <t>부산은행이 공시한 적금 상품은 모두 몇 개인가?</t>
        </is>
      </c>
      <c r="G522" s="2" t="inlineStr">
        <is>
          <t>numeric</t>
        </is>
      </c>
      <c r="H522" s="2" t="inlineStr">
        <is>
          <t>5</t>
        </is>
      </c>
      <c r="I522" s="2" t="inlineStr">
        <is>
          <t>개</t>
        </is>
      </c>
      <c r="J522" s="2" t="inlineStr">
        <is>
          <t>금융감독원 금융상품통합비교공시 Open API (finlife.fss.or.kr), 202608</t>
        </is>
      </c>
      <c r="K522" s="2" t="inlineStr">
        <is>
          <t>부산은행:saving:baseList</t>
        </is>
      </c>
      <c r="L522" s="2" t="inlineStr">
        <is>
          <t>BNK내맘대로 적금; Only One 주거래 우대적금; 부산이라 좋다 Big적금; 저탄소 실천 적금; 펫 적금</t>
        </is>
      </c>
    </row>
    <row r="523">
      <c r="A523" s="2" t="inlineStr">
        <is>
          <t>PRD-0522</t>
        </is>
      </c>
      <c r="B523" s="2" t="inlineStr">
        <is>
          <t>공시형</t>
        </is>
      </c>
      <c r="C523" s="2" t="inlineStr">
        <is>
          <t>예금</t>
        </is>
      </c>
      <c r="D523" s="2" t="inlineStr">
        <is>
          <t>정기예금</t>
        </is>
      </c>
      <c r="E523" s="2" t="inlineStr">
        <is>
          <t>agg_count</t>
        </is>
      </c>
      <c r="F523" s="2" t="inlineStr">
        <is>
          <t>수협은행이 공시한 정기예금 상품은 모두 몇 개인가?</t>
        </is>
      </c>
      <c r="G523" s="2" t="inlineStr">
        <is>
          <t>numeric</t>
        </is>
      </c>
      <c r="H523" s="2" t="inlineStr">
        <is>
          <t>3</t>
        </is>
      </c>
      <c r="I523" s="2" t="inlineStr">
        <is>
          <t>개</t>
        </is>
      </c>
      <c r="J523" s="2" t="inlineStr">
        <is>
          <t>금융감독원 금융상품통합비교공시 Open API (finlife.fss.or.kr), 202608</t>
        </is>
      </c>
      <c r="K523" s="2" t="inlineStr">
        <is>
          <t>수협은행:deposit:baseList</t>
        </is>
      </c>
      <c r="L523" s="2" t="inlineStr">
        <is>
          <t>Sh첫만남우대예금; Sh해양플라스틱Zero!예금 (만기일시지급식); 헤이(Hey)정기예금</t>
        </is>
      </c>
    </row>
    <row r="524">
      <c r="A524" s="2" t="inlineStr">
        <is>
          <t>PRD-0523</t>
        </is>
      </c>
      <c r="B524" s="2" t="inlineStr">
        <is>
          <t>공시형</t>
        </is>
      </c>
      <c r="C524" s="2" t="inlineStr">
        <is>
          <t>대출</t>
        </is>
      </c>
      <c r="D524" s="2" t="inlineStr">
        <is>
          <t>전세자금대출</t>
        </is>
      </c>
      <c r="E524" s="2" t="inlineStr">
        <is>
          <t>agg_count</t>
        </is>
      </c>
      <c r="F524" s="2" t="inlineStr">
        <is>
          <t>수협은행이 공시한 전세자금대출 상품은 모두 몇 개인가?</t>
        </is>
      </c>
      <c r="G524" s="2" t="inlineStr">
        <is>
          <t>numeric</t>
        </is>
      </c>
      <c r="H524" s="2" t="inlineStr">
        <is>
          <t>4</t>
        </is>
      </c>
      <c r="I524" s="2" t="inlineStr">
        <is>
          <t>개</t>
        </is>
      </c>
      <c r="J524" s="2" t="inlineStr">
        <is>
          <t>금융감독원 금융상품통합비교공시 Open API (finlife.fss.or.kr), 202608</t>
        </is>
      </c>
      <c r="K524" s="2" t="inlineStr">
        <is>
          <t>수협은행:rent:baseList</t>
        </is>
      </c>
      <c r="L524" s="2" t="inlineStr">
        <is>
          <t>Sh전세금안심대출; Sh전세보증대출(서울보증보험); Sh전세보증대출(주택금융공사); 공공주택임차보증금담보대출</t>
        </is>
      </c>
    </row>
    <row r="525">
      <c r="A525" s="2" t="inlineStr">
        <is>
          <t>PRD-0524</t>
        </is>
      </c>
      <c r="B525" s="2" t="inlineStr">
        <is>
          <t>공시형</t>
        </is>
      </c>
      <c r="C525" s="2" t="inlineStr">
        <is>
          <t>예금</t>
        </is>
      </c>
      <c r="D525" s="2" t="inlineStr">
        <is>
          <t>적금</t>
        </is>
      </c>
      <c r="E525" s="2" t="inlineStr">
        <is>
          <t>agg_count</t>
        </is>
      </c>
      <c r="F525" s="2" t="inlineStr">
        <is>
          <t>수협은행의 적금 상품을 전부 세면 몇 개인가?</t>
        </is>
      </c>
      <c r="G525" s="2" t="inlineStr">
        <is>
          <t>numeric</t>
        </is>
      </c>
      <c r="H525" s="2" t="inlineStr">
        <is>
          <t>5</t>
        </is>
      </c>
      <c r="I525" s="2" t="inlineStr">
        <is>
          <t>개</t>
        </is>
      </c>
      <c r="J525" s="2" t="inlineStr">
        <is>
          <t>금융감독원 금융상품통합비교공시 Open API (finlife.fss.or.kr), 202608</t>
        </is>
      </c>
      <c r="K525" s="2" t="inlineStr">
        <is>
          <t>수협은행:saving:baseList</t>
        </is>
      </c>
      <c r="L525" s="2" t="inlineStr">
        <is>
          <t>Sh월복리자유적금; Sh해양플라스틱Zero!적금 (자유적립식); Sh해양플라스틱Zero!적금 (정액적립식); 헤이(Hey)적금 (자유적립식); 헤이(Hey)적금 (정액적립식)</t>
        </is>
      </c>
    </row>
    <row r="526">
      <c r="A526" s="2" t="inlineStr">
        <is>
          <t>PRD-0525</t>
        </is>
      </c>
      <c r="B526" s="2" t="inlineStr">
        <is>
          <t>공시형</t>
        </is>
      </c>
      <c r="C526" s="2" t="inlineStr">
        <is>
          <t>예금</t>
        </is>
      </c>
      <c r="D526" s="2" t="inlineStr">
        <is>
          <t>정기예금</t>
        </is>
      </c>
      <c r="E526" s="2" t="inlineStr">
        <is>
          <t>agg_count</t>
        </is>
      </c>
      <c r="F526" s="2" t="inlineStr">
        <is>
          <t>현재 공시 기준으로 신한은행의 정기예금 상품 수는 몇 개인가?</t>
        </is>
      </c>
      <c r="G526" s="2" t="inlineStr">
        <is>
          <t>numeric</t>
        </is>
      </c>
      <c r="H526" s="2" t="inlineStr">
        <is>
          <t>2</t>
        </is>
      </c>
      <c r="I526" s="2" t="inlineStr">
        <is>
          <t>개</t>
        </is>
      </c>
      <c r="J526" s="2" t="inlineStr">
        <is>
          <t>금융감독원 금융상품통합비교공시 Open API (finlife.fss.or.kr), 202608</t>
        </is>
      </c>
      <c r="K526" s="2" t="inlineStr">
        <is>
          <t>신한은행:deposit:baseList</t>
        </is>
      </c>
      <c r="L526" s="2" t="inlineStr">
        <is>
          <t>신한My플러스 정기예금; 쏠편한 정기예금</t>
        </is>
      </c>
    </row>
    <row r="527">
      <c r="A527" s="2" t="inlineStr">
        <is>
          <t>PRD-0526</t>
        </is>
      </c>
      <c r="B527" s="2" t="inlineStr">
        <is>
          <t>공시형</t>
        </is>
      </c>
      <c r="C527" s="2" t="inlineStr">
        <is>
          <t>대출</t>
        </is>
      </c>
      <c r="D527" s="2" t="inlineStr">
        <is>
          <t>주택담보대출</t>
        </is>
      </c>
      <c r="E527" s="2" t="inlineStr">
        <is>
          <t>agg_count</t>
        </is>
      </c>
      <c r="F527" s="2" t="inlineStr">
        <is>
          <t>신한은행이 공시한 주택담보대출 상품은 모두 몇 개인가?</t>
        </is>
      </c>
      <c r="G527" s="2" t="inlineStr">
        <is>
          <t>numeric</t>
        </is>
      </c>
      <c r="H527" s="2" t="inlineStr">
        <is>
          <t>2</t>
        </is>
      </c>
      <c r="I527" s="2" t="inlineStr">
        <is>
          <t>개</t>
        </is>
      </c>
      <c r="J527" s="2" t="inlineStr">
        <is>
          <t>금융감독원 금융상품통합비교공시 Open API (finlife.fss.or.kr), 202608</t>
        </is>
      </c>
      <c r="K527" s="2" t="inlineStr">
        <is>
          <t>신한은행:mortgage:baseList</t>
        </is>
      </c>
      <c r="L527" s="2" t="inlineStr">
        <is>
          <t>신한주택대출; 신한주택대출(아파트)</t>
        </is>
      </c>
    </row>
    <row r="528">
      <c r="A528" s="2" t="inlineStr">
        <is>
          <t>PRD-0527</t>
        </is>
      </c>
      <c r="B528" s="2" t="inlineStr">
        <is>
          <t>공시형</t>
        </is>
      </c>
      <c r="C528" s="2" t="inlineStr">
        <is>
          <t>대출</t>
        </is>
      </c>
      <c r="D528" s="2" t="inlineStr">
        <is>
          <t>전세자금대출</t>
        </is>
      </c>
      <c r="E528" s="2" t="inlineStr">
        <is>
          <t>agg_count</t>
        </is>
      </c>
      <c r="F528" s="2" t="inlineStr">
        <is>
          <t>신한은행의 전세자금대출 상품을 전부 세면 몇 개인가?</t>
        </is>
      </c>
      <c r="G528" s="2" t="inlineStr">
        <is>
          <t>numeric</t>
        </is>
      </c>
      <c r="H528" s="2" t="inlineStr">
        <is>
          <t>2</t>
        </is>
      </c>
      <c r="I528" s="2" t="inlineStr">
        <is>
          <t>개</t>
        </is>
      </c>
      <c r="J528" s="2" t="inlineStr">
        <is>
          <t>금융감독원 금융상품통합비교공시 Open API (finlife.fss.or.kr), 202608</t>
        </is>
      </c>
      <c r="K528" s="2" t="inlineStr">
        <is>
          <t>신한은행:rent:baseList</t>
        </is>
      </c>
      <c r="L528" s="2" t="inlineStr">
        <is>
          <t>신한전세대출(서울보증); 신한전세대출(주택금융공사)</t>
        </is>
      </c>
    </row>
    <row r="529">
      <c r="A529" s="2" t="inlineStr">
        <is>
          <t>PRD-0528</t>
        </is>
      </c>
      <c r="B529" s="2" t="inlineStr">
        <is>
          <t>공시형</t>
        </is>
      </c>
      <c r="C529" s="2" t="inlineStr">
        <is>
          <t>예금</t>
        </is>
      </c>
      <c r="D529" s="2" t="inlineStr">
        <is>
          <t>정기예금</t>
        </is>
      </c>
      <c r="E529" s="2" t="inlineStr">
        <is>
          <t>agg_count</t>
        </is>
      </c>
      <c r="F529" s="2" t="inlineStr">
        <is>
          <t>아이엠뱅크의 정기예금 상품을 전부 세면 몇 개인가?</t>
        </is>
      </c>
      <c r="G529" s="2" t="inlineStr">
        <is>
          <t>numeric</t>
        </is>
      </c>
      <c r="H529" s="2" t="inlineStr">
        <is>
          <t>2</t>
        </is>
      </c>
      <c r="I529" s="2" t="inlineStr">
        <is>
          <t>개</t>
        </is>
      </c>
      <c r="J529" s="2" t="inlineStr">
        <is>
          <t>금융감독원 금융상품통합비교공시 Open API (finlife.fss.or.kr), 202608</t>
        </is>
      </c>
      <c r="K529" s="2" t="inlineStr">
        <is>
          <t>아이엠뱅크:deposit:baseList</t>
        </is>
      </c>
      <c r="L529" s="2" t="inlineStr">
        <is>
          <t>iM스마트예금; iM함께예금</t>
        </is>
      </c>
    </row>
    <row r="530">
      <c r="A530" s="2" t="inlineStr">
        <is>
          <t>PRD-0529</t>
        </is>
      </c>
      <c r="B530" s="2" t="inlineStr">
        <is>
          <t>공시형</t>
        </is>
      </c>
      <c r="C530" s="2" t="inlineStr">
        <is>
          <t>대출</t>
        </is>
      </c>
      <c r="D530" s="2" t="inlineStr">
        <is>
          <t>주택담보대출</t>
        </is>
      </c>
      <c r="E530" s="2" t="inlineStr">
        <is>
          <t>agg_count</t>
        </is>
      </c>
      <c r="F530" s="2" t="inlineStr">
        <is>
          <t>현재 공시 기준으로 아이엠뱅크의 주택담보대출 상품 수는 몇 개인가?</t>
        </is>
      </c>
      <c r="G530" s="2" t="inlineStr">
        <is>
          <t>numeric</t>
        </is>
      </c>
      <c r="H530" s="2" t="inlineStr">
        <is>
          <t>6</t>
        </is>
      </c>
      <c r="I530" s="2" t="inlineStr">
        <is>
          <t>개</t>
        </is>
      </c>
      <c r="J530" s="2" t="inlineStr">
        <is>
          <t>금융감독원 금융상품통합비교공시 Open API (finlife.fss.or.kr), 202608</t>
        </is>
      </c>
      <c r="K530" s="2" t="inlineStr">
        <is>
          <t>아이엠뱅크:mortgage:baseList</t>
        </is>
      </c>
      <c r="L530" s="2" t="inlineStr">
        <is>
          <t>IM주택담보대출_금융채5년변동(구입); IM주택담보대출_금융채5년변동(생활); 장기모기지론-코픽스6개월변동(구입); 장기모기지론-코픽스6개월변동(생활); 장기모기지론_금융채5년변동(구입); 장기모기지론_금융채5년변동(생활)</t>
        </is>
      </c>
    </row>
    <row r="531">
      <c r="A531" s="2" t="inlineStr">
        <is>
          <t>PRD-0530</t>
        </is>
      </c>
      <c r="B531" s="2" t="inlineStr">
        <is>
          <t>공시형</t>
        </is>
      </c>
      <c r="C531" s="2" t="inlineStr">
        <is>
          <t>대출</t>
        </is>
      </c>
      <c r="D531" s="2" t="inlineStr">
        <is>
          <t>전세자금대출</t>
        </is>
      </c>
      <c r="E531" s="2" t="inlineStr">
        <is>
          <t>agg_count</t>
        </is>
      </c>
      <c r="F531" s="2" t="inlineStr">
        <is>
          <t>아이엠뱅크의 전세자금대출 상품을 전부 세면 몇 개인가?</t>
        </is>
      </c>
      <c r="G531" s="2" t="inlineStr">
        <is>
          <t>numeric</t>
        </is>
      </c>
      <c r="H531" s="2" t="inlineStr">
        <is>
          <t>4</t>
        </is>
      </c>
      <c r="I531" s="2" t="inlineStr">
        <is>
          <t>개</t>
        </is>
      </c>
      <c r="J531" s="2" t="inlineStr">
        <is>
          <t>금융감독원 금융상품통합비교공시 Open API (finlife.fss.or.kr), 202608</t>
        </is>
      </c>
      <c r="K531" s="2" t="inlineStr">
        <is>
          <t>아이엠뱅크:rent:baseList</t>
        </is>
      </c>
      <c r="L531" s="2" t="inlineStr">
        <is>
          <t>DGB POWER 전세보증대출; DGB 전세자금대출; 무방문전세자금대출; 무방문전세자금대출(주택금융공사)</t>
        </is>
      </c>
    </row>
    <row r="532">
      <c r="A532" s="2" t="inlineStr">
        <is>
          <t>PRD-0531</t>
        </is>
      </c>
      <c r="B532" s="2" t="inlineStr">
        <is>
          <t>공시형</t>
        </is>
      </c>
      <c r="C532" s="2" t="inlineStr">
        <is>
          <t>대출</t>
        </is>
      </c>
      <c r="D532" s="2" t="inlineStr">
        <is>
          <t>주택담보대출</t>
        </is>
      </c>
      <c r="E532" s="2" t="inlineStr">
        <is>
          <t>agg_count</t>
        </is>
      </c>
      <c r="F532" s="2" t="inlineStr">
        <is>
          <t>현재 공시 기준으로 우리은행의 주택담보대출 상품 수는 몇 개인가?</t>
        </is>
      </c>
      <c r="G532" s="2" t="inlineStr">
        <is>
          <t>numeric</t>
        </is>
      </c>
      <c r="H532" s="2" t="inlineStr">
        <is>
          <t>2</t>
        </is>
      </c>
      <c r="I532" s="2" t="inlineStr">
        <is>
          <t>개</t>
        </is>
      </c>
      <c r="J532" s="2" t="inlineStr">
        <is>
          <t>금융감독원 금융상품통합비교공시 Open API (finlife.fss.or.kr), 202608</t>
        </is>
      </c>
      <c r="K532" s="2" t="inlineStr">
        <is>
          <t>우리은행:mortgage:baseList</t>
        </is>
      </c>
      <c r="L532" s="2" t="inlineStr">
        <is>
          <t>우리부동산론; 우리아파트론</t>
        </is>
      </c>
    </row>
    <row r="533">
      <c r="A533" s="2" t="inlineStr">
        <is>
          <t>PRD-0532</t>
        </is>
      </c>
      <c r="B533" s="2" t="inlineStr">
        <is>
          <t>공시형</t>
        </is>
      </c>
      <c r="C533" s="2" t="inlineStr">
        <is>
          <t>대출</t>
        </is>
      </c>
      <c r="D533" s="2" t="inlineStr">
        <is>
          <t>전세자금대출</t>
        </is>
      </c>
      <c r="E533" s="2" t="inlineStr">
        <is>
          <t>agg_count</t>
        </is>
      </c>
      <c r="F533" s="2" t="inlineStr">
        <is>
          <t>우리은행의 전세자금대출 상품을 전부 세면 몇 개인가?</t>
        </is>
      </c>
      <c r="G533" s="2" t="inlineStr">
        <is>
          <t>numeric</t>
        </is>
      </c>
      <c r="H533" s="2" t="inlineStr">
        <is>
          <t>2</t>
        </is>
      </c>
      <c r="I533" s="2" t="inlineStr">
        <is>
          <t>개</t>
        </is>
      </c>
      <c r="J533" s="2" t="inlineStr">
        <is>
          <t>금융감독원 금융상품통합비교공시 Open API (finlife.fss.or.kr), 202608</t>
        </is>
      </c>
      <c r="K533" s="2" t="inlineStr">
        <is>
          <t>우리은행:rent:baseList</t>
        </is>
      </c>
      <c r="L533" s="2" t="inlineStr">
        <is>
          <t>우리전세론(서울보증); 우리전세론(주택금융보증)</t>
        </is>
      </c>
    </row>
    <row r="534">
      <c r="A534" s="2" t="inlineStr">
        <is>
          <t>PRD-0533</t>
        </is>
      </c>
      <c r="B534" s="2" t="inlineStr">
        <is>
          <t>공시형</t>
        </is>
      </c>
      <c r="C534" s="2" t="inlineStr">
        <is>
          <t>예금</t>
        </is>
      </c>
      <c r="D534" s="2" t="inlineStr">
        <is>
          <t>적금</t>
        </is>
      </c>
      <c r="E534" s="2" t="inlineStr">
        <is>
          <t>agg_count</t>
        </is>
      </c>
      <c r="F534" s="2" t="inlineStr">
        <is>
          <t>우리은행이 공시한 적금 상품은 모두 몇 개인가?</t>
        </is>
      </c>
      <c r="G534" s="2" t="inlineStr">
        <is>
          <t>numeric</t>
        </is>
      </c>
      <c r="H534" s="2" t="inlineStr">
        <is>
          <t>2</t>
        </is>
      </c>
      <c r="I534" s="2" t="inlineStr">
        <is>
          <t>개</t>
        </is>
      </c>
      <c r="J534" s="2" t="inlineStr">
        <is>
          <t>금융감독원 금융상품통합비교공시 Open API (finlife.fss.or.kr), 202608</t>
        </is>
      </c>
      <c r="K534" s="2" t="inlineStr">
        <is>
          <t>우리은행:saving:baseList</t>
        </is>
      </c>
      <c r="L534" s="2" t="inlineStr">
        <is>
          <t>WON적금; 우리SUPER주거래적금</t>
        </is>
      </c>
    </row>
    <row r="535">
      <c r="A535" s="2" t="inlineStr">
        <is>
          <t>PRD-0534</t>
        </is>
      </c>
      <c r="B535" s="2" t="inlineStr">
        <is>
          <t>공시형</t>
        </is>
      </c>
      <c r="C535" s="2" t="inlineStr">
        <is>
          <t>예금</t>
        </is>
      </c>
      <c r="D535" s="2" t="inlineStr">
        <is>
          <t>정기예금</t>
        </is>
      </c>
      <c r="E535" s="2" t="inlineStr">
        <is>
          <t>agg_count</t>
        </is>
      </c>
      <c r="F535" s="2" t="inlineStr">
        <is>
          <t>전북은행이 공시한 정기예금 상품은 모두 몇 개인가?</t>
        </is>
      </c>
      <c r="G535" s="2" t="inlineStr">
        <is>
          <t>numeric</t>
        </is>
      </c>
      <c r="H535" s="2" t="inlineStr">
        <is>
          <t>3</t>
        </is>
      </c>
      <c r="I535" s="2" t="inlineStr">
        <is>
          <t>개</t>
        </is>
      </c>
      <c r="J535" s="2" t="inlineStr">
        <is>
          <t>금융감독원 금융상품통합비교공시 Open API (finlife.fss.or.kr), 202608</t>
        </is>
      </c>
      <c r="K535" s="2" t="inlineStr">
        <is>
          <t>전북은행:deposit:baseList</t>
        </is>
      </c>
      <c r="L535" s="2" t="inlineStr">
        <is>
          <t>JB 123 정기예금 (만기일시지급식); JB 다이렉트예금통장 (만기일시지급식); 내맘 쏙 정기예금</t>
        </is>
      </c>
    </row>
    <row r="536">
      <c r="A536" s="2" t="inlineStr">
        <is>
          <t>PRD-0535</t>
        </is>
      </c>
      <c r="B536" s="2" t="inlineStr">
        <is>
          <t>공시형</t>
        </is>
      </c>
      <c r="C536" s="2" t="inlineStr">
        <is>
          <t>대출</t>
        </is>
      </c>
      <c r="D536" s="2" t="inlineStr">
        <is>
          <t>주택담보대출</t>
        </is>
      </c>
      <c r="E536" s="2" t="inlineStr">
        <is>
          <t>agg_count</t>
        </is>
      </c>
      <c r="F536" s="2" t="inlineStr">
        <is>
          <t>현재 공시 기준으로 전북은행의 주택담보대출 상품 수는 몇 개인가?</t>
        </is>
      </c>
      <c r="G536" s="2" t="inlineStr">
        <is>
          <t>numeric</t>
        </is>
      </c>
      <c r="H536" s="2" t="inlineStr">
        <is>
          <t>3</t>
        </is>
      </c>
      <c r="I536" s="2" t="inlineStr">
        <is>
          <t>개</t>
        </is>
      </c>
      <c r="J536" s="2" t="inlineStr">
        <is>
          <t>금융감독원 금융상품통합비교공시 Open API (finlife.fss.or.kr), 202608</t>
        </is>
      </c>
      <c r="K536" s="2" t="inlineStr">
        <is>
          <t>전북은행:mortgage:baseList</t>
        </is>
      </c>
      <c r="L536" s="2" t="inlineStr">
        <is>
          <t>BEST고정금리모기지론; JB우리집대출; JB해피홈론</t>
        </is>
      </c>
    </row>
    <row r="537">
      <c r="A537" s="2" t="inlineStr">
        <is>
          <t>PRD-0536</t>
        </is>
      </c>
      <c r="B537" s="2" t="inlineStr">
        <is>
          <t>공시형</t>
        </is>
      </c>
      <c r="C537" s="2" t="inlineStr">
        <is>
          <t>대출</t>
        </is>
      </c>
      <c r="D537" s="2" t="inlineStr">
        <is>
          <t>전세자금대출</t>
        </is>
      </c>
      <c r="E537" s="2" t="inlineStr">
        <is>
          <t>agg_count</t>
        </is>
      </c>
      <c r="F537" s="2" t="inlineStr">
        <is>
          <t>현재 공시 기준으로 전북은행의 전세자금대출 상품 수는 몇 개인가?</t>
        </is>
      </c>
      <c r="G537" s="2" t="inlineStr">
        <is>
          <t>numeric</t>
        </is>
      </c>
      <c r="H537" s="2" t="inlineStr">
        <is>
          <t>2</t>
        </is>
      </c>
      <c r="I537" s="2" t="inlineStr">
        <is>
          <t>개</t>
        </is>
      </c>
      <c r="J537" s="2" t="inlineStr">
        <is>
          <t>금융감독원 금융상품통합비교공시 Open API (finlife.fss.or.kr), 202608</t>
        </is>
      </c>
      <c r="K537" s="2" t="inlineStr">
        <is>
          <t>전북은행:rent:baseList</t>
        </is>
      </c>
      <c r="L537" s="2" t="inlineStr">
        <is>
          <t>BEST전세자금대출Ⅱ; JB전세자금대출</t>
        </is>
      </c>
    </row>
    <row r="538">
      <c r="A538" s="2" t="inlineStr">
        <is>
          <t>PRD-0537</t>
        </is>
      </c>
      <c r="B538" s="2" t="inlineStr">
        <is>
          <t>공시형</t>
        </is>
      </c>
      <c r="C538" s="2" t="inlineStr">
        <is>
          <t>예금</t>
        </is>
      </c>
      <c r="D538" s="2" t="inlineStr">
        <is>
          <t>적금</t>
        </is>
      </c>
      <c r="E538" s="2" t="inlineStr">
        <is>
          <t>agg_count</t>
        </is>
      </c>
      <c r="F538" s="2" t="inlineStr">
        <is>
          <t>전북은행이 공시한 적금 상품은 모두 몇 개인가?</t>
        </is>
      </c>
      <c r="G538" s="2" t="inlineStr">
        <is>
          <t>numeric</t>
        </is>
      </c>
      <c r="H538" s="2" t="inlineStr">
        <is>
          <t>2</t>
        </is>
      </c>
      <c r="I538" s="2" t="inlineStr">
        <is>
          <t>개</t>
        </is>
      </c>
      <c r="J538" s="2" t="inlineStr">
        <is>
          <t>금융감독원 금융상품통합비교공시 Open API (finlife.fss.or.kr), 202608</t>
        </is>
      </c>
      <c r="K538" s="2" t="inlineStr">
        <is>
          <t>전북은행:saving:baseList</t>
        </is>
      </c>
      <c r="L538" s="2" t="inlineStr">
        <is>
          <t>JB 다이렉트적금(자유적립식); JB 다이렉트적금(정액적립식)</t>
        </is>
      </c>
    </row>
    <row r="539">
      <c r="A539" s="2" t="inlineStr">
        <is>
          <t>PRD-0538</t>
        </is>
      </c>
      <c r="B539" s="2" t="inlineStr">
        <is>
          <t>공시형</t>
        </is>
      </c>
      <c r="C539" s="2" t="inlineStr">
        <is>
          <t>예금</t>
        </is>
      </c>
      <c r="D539" s="2" t="inlineStr">
        <is>
          <t>정기예금</t>
        </is>
      </c>
      <c r="E539" s="2" t="inlineStr">
        <is>
          <t>agg_count</t>
        </is>
      </c>
      <c r="F539" s="2" t="inlineStr">
        <is>
          <t>제주은행이 공시한 정기예금 상품은 모두 몇 개인가?</t>
        </is>
      </c>
      <c r="G539" s="2" t="inlineStr">
        <is>
          <t>numeric</t>
        </is>
      </c>
      <c r="H539" s="2" t="inlineStr">
        <is>
          <t>3</t>
        </is>
      </c>
      <c r="I539" s="2" t="inlineStr">
        <is>
          <t>개</t>
        </is>
      </c>
      <c r="J539" s="2" t="inlineStr">
        <is>
          <t>금융감독원 금융상품통합비교공시 Open API (finlife.fss.or.kr), 202608</t>
        </is>
      </c>
      <c r="K539" s="2" t="inlineStr">
        <is>
          <t>제주은행:deposit:baseList</t>
        </is>
      </c>
      <c r="L539" s="2" t="inlineStr">
        <is>
          <t>J정기예금 (만기지급식); 스마일드림 정기예금 (개인/선이자 지급식); 제주Dream 정기예금 (개인/만기 지급식)</t>
        </is>
      </c>
    </row>
    <row r="540">
      <c r="A540" s="2" t="inlineStr">
        <is>
          <t>PRD-0539</t>
        </is>
      </c>
      <c r="B540" s="2" t="inlineStr">
        <is>
          <t>공시형</t>
        </is>
      </c>
      <c r="C540" s="2" t="inlineStr">
        <is>
          <t>대출</t>
        </is>
      </c>
      <c r="D540" s="2" t="inlineStr">
        <is>
          <t>주택담보대출</t>
        </is>
      </c>
      <c r="E540" s="2" t="inlineStr">
        <is>
          <t>agg_count</t>
        </is>
      </c>
      <c r="F540" s="2" t="inlineStr">
        <is>
          <t>제주은행이 공시한 주택담보대출 상품은 모두 몇 개인가?</t>
        </is>
      </c>
      <c r="G540" s="2" t="inlineStr">
        <is>
          <t>numeric</t>
        </is>
      </c>
      <c r="H540" s="2" t="inlineStr">
        <is>
          <t>3</t>
        </is>
      </c>
      <c r="I540" s="2" t="inlineStr">
        <is>
          <t>개</t>
        </is>
      </c>
      <c r="J540" s="2" t="inlineStr">
        <is>
          <t>금융감독원 금융상품통합비교공시 Open API (finlife.fss.or.kr), 202608</t>
        </is>
      </c>
      <c r="K540" s="2" t="inlineStr">
        <is>
          <t>제주은행:mortgage:baseList</t>
        </is>
      </c>
      <c r="L540" s="2" t="inlineStr">
        <is>
          <t>금리safe모기지론; 제주장기모기지론; 제주홈대출</t>
        </is>
      </c>
    </row>
    <row r="541">
      <c r="A541" s="2" t="inlineStr">
        <is>
          <t>PRD-0540</t>
        </is>
      </c>
      <c r="B541" s="2" t="inlineStr">
        <is>
          <t>공시형</t>
        </is>
      </c>
      <c r="C541" s="2" t="inlineStr">
        <is>
          <t>대출</t>
        </is>
      </c>
      <c r="D541" s="2" t="inlineStr">
        <is>
          <t>전세자금대출</t>
        </is>
      </c>
      <c r="E541" s="2" t="inlineStr">
        <is>
          <t>agg_count</t>
        </is>
      </c>
      <c r="F541" s="2" t="inlineStr">
        <is>
          <t>제주은행의 전세자금대출 상품을 전부 세면 몇 개인가?</t>
        </is>
      </c>
      <c r="G541" s="2" t="inlineStr">
        <is>
          <t>numeric</t>
        </is>
      </c>
      <c r="H541" s="2" t="inlineStr">
        <is>
          <t>2</t>
        </is>
      </c>
      <c r="I541" s="2" t="inlineStr">
        <is>
          <t>개</t>
        </is>
      </c>
      <c r="J541" s="2" t="inlineStr">
        <is>
          <t>금융감독원 금융상품통합비교공시 Open API (finlife.fss.or.kr), 202608</t>
        </is>
      </c>
      <c r="K541" s="2" t="inlineStr">
        <is>
          <t>제주은행:rent:baseList</t>
        </is>
      </c>
      <c r="L541" s="2" t="inlineStr">
        <is>
          <t>JJB일반전세자금대출; 주택전세자금대출</t>
        </is>
      </c>
    </row>
    <row r="542">
      <c r="A542" s="2" t="inlineStr">
        <is>
          <t>PRD-0541</t>
        </is>
      </c>
      <c r="B542" s="2" t="inlineStr">
        <is>
          <t>공시형</t>
        </is>
      </c>
      <c r="C542" s="2" t="inlineStr">
        <is>
          <t>예금</t>
        </is>
      </c>
      <c r="D542" s="2" t="inlineStr">
        <is>
          <t>정기예금</t>
        </is>
      </c>
      <c r="E542" s="2" t="inlineStr">
        <is>
          <t>agg_superlative</t>
        </is>
      </c>
      <c r="F542" s="2" t="inlineStr">
        <is>
          <t>공시된 모든 은행 정기예금에서 12개월 만기 최고 우대금리 1위 상품은?</t>
        </is>
      </c>
      <c r="G542" s="2" t="inlineStr">
        <is>
          <t>span</t>
        </is>
      </c>
      <c r="H542" s="2" t="inlineStr">
        <is>
          <t>e-그린세이브예금</t>
        </is>
      </c>
      <c r="I542" s="2" t="inlineStr"/>
      <c r="J542" s="2" t="inlineStr">
        <is>
          <t>금융감독원 금융상품통합비교공시 Open API (finlife.fss.or.kr), 202608</t>
        </is>
      </c>
      <c r="K542" s="2" t="inlineStr">
        <is>
          <t>전체:deposit:max(intr_rate2, 12개월)</t>
        </is>
      </c>
      <c r="L542" s="2" t="inlineStr">
        <is>
          <t>e-그린세이브예금=3.85</t>
        </is>
      </c>
    </row>
    <row r="543">
      <c r="A543" s="2" t="inlineStr">
        <is>
          <t>PRD-0542</t>
        </is>
      </c>
      <c r="B543" s="2" t="inlineStr">
        <is>
          <t>공시형</t>
        </is>
      </c>
      <c r="C543" s="2" t="inlineStr">
        <is>
          <t>예금</t>
        </is>
      </c>
      <c r="D543" s="2" t="inlineStr">
        <is>
          <t>정기예금</t>
        </is>
      </c>
      <c r="E543" s="2" t="inlineStr">
        <is>
          <t>enumerate_products</t>
        </is>
      </c>
      <c r="F543" s="2" t="inlineStr">
        <is>
          <t>경남은행의 정기예금 상품을 모두 나열하면?</t>
        </is>
      </c>
      <c r="G543" s="2" t="inlineStr">
        <is>
          <t>span</t>
        </is>
      </c>
      <c r="H543" s="2" t="inlineStr">
        <is>
          <t>BNK더조은정기예금, The든든예금(시즌2), The파트너예금</t>
        </is>
      </c>
      <c r="I543" s="2" t="inlineStr"/>
      <c r="J543" s="2" t="inlineStr">
        <is>
          <t>금융감독원 금융상품통합비교공시 Open API (finlife.fss.or.kr), 202608</t>
        </is>
      </c>
      <c r="K543" s="2" t="inlineStr">
        <is>
          <t>경남은행:deposit:baseList</t>
        </is>
      </c>
      <c r="L543" s="2" t="inlineStr">
        <is>
          <t>BNK더조은정기예금; The든든예금(시즌2); The파트너예금</t>
        </is>
      </c>
    </row>
    <row r="544">
      <c r="A544" s="2" t="inlineStr">
        <is>
          <t>PRD-0543</t>
        </is>
      </c>
      <c r="B544" s="2" t="inlineStr">
        <is>
          <t>공시형</t>
        </is>
      </c>
      <c r="C544" s="2" t="inlineStr">
        <is>
          <t>예금</t>
        </is>
      </c>
      <c r="D544" s="2" t="inlineStr">
        <is>
          <t>정기예금</t>
        </is>
      </c>
      <c r="E544" s="2" t="inlineStr">
        <is>
          <t>enumerate_products</t>
        </is>
      </c>
      <c r="F544" s="2" t="inlineStr">
        <is>
          <t>광주은행의 정기예금 상품을 모두 나열하면?</t>
        </is>
      </c>
      <c r="G544" s="2" t="inlineStr">
        <is>
          <t>span</t>
        </is>
      </c>
      <c r="H544" s="2" t="inlineStr">
        <is>
          <t>The플러스예금, 굿스타트예금, 미즈월복리정기예금, 스마트모아Dream정기예금</t>
        </is>
      </c>
      <c r="I544" s="2" t="inlineStr"/>
      <c r="J544" s="2" t="inlineStr">
        <is>
          <t>금융감독원 금융상품통합비교공시 Open API (finlife.fss.or.kr), 202608</t>
        </is>
      </c>
      <c r="K544" s="2" t="inlineStr">
        <is>
          <t>광주은행:deposit:baseList</t>
        </is>
      </c>
      <c r="L544" s="2" t="inlineStr">
        <is>
          <t>The플러스예금; 굿스타트예금; 미즈월복리정기예금; 스마트모아Dream정기예금</t>
        </is>
      </c>
    </row>
    <row r="545">
      <c r="A545" s="2" t="inlineStr">
        <is>
          <t>PRD-0544</t>
        </is>
      </c>
      <c r="B545" s="2" t="inlineStr">
        <is>
          <t>공시형</t>
        </is>
      </c>
      <c r="C545" s="2" t="inlineStr">
        <is>
          <t>예금</t>
        </is>
      </c>
      <c r="D545" s="2" t="inlineStr">
        <is>
          <t>적금</t>
        </is>
      </c>
      <c r="E545" s="2" t="inlineStr">
        <is>
          <t>enumerate_products</t>
        </is>
      </c>
      <c r="F545" s="2" t="inlineStr">
        <is>
          <t>광주은행이 공시한 적금 상품 전체 목록은?</t>
        </is>
      </c>
      <c r="G545" s="2" t="inlineStr">
        <is>
          <t>span</t>
        </is>
      </c>
      <c r="H545" s="2" t="inlineStr">
        <is>
          <t>VIP플러스적금, 여행스케치_남도투어적금, 해피라이프_여행스케치적금V</t>
        </is>
      </c>
      <c r="I545" s="2" t="inlineStr"/>
      <c r="J545" s="2" t="inlineStr">
        <is>
          <t>금융감독원 금융상품통합비교공시 Open API (finlife.fss.or.kr), 202608</t>
        </is>
      </c>
      <c r="K545" s="2" t="inlineStr">
        <is>
          <t>광주은행:saving:baseList</t>
        </is>
      </c>
      <c r="L545" s="2" t="inlineStr">
        <is>
          <t>VIP플러스적금; 여행스케치_남도투어적금; 해피라이프_여행스케치적금V</t>
        </is>
      </c>
    </row>
    <row r="546">
      <c r="A546" s="2" t="inlineStr">
        <is>
          <t>PRD-0545</t>
        </is>
      </c>
      <c r="B546" s="2" t="inlineStr">
        <is>
          <t>공시형</t>
        </is>
      </c>
      <c r="C546" s="2" t="inlineStr">
        <is>
          <t>예금</t>
        </is>
      </c>
      <c r="D546" s="2" t="inlineStr">
        <is>
          <t>적금</t>
        </is>
      </c>
      <c r="E546" s="2" t="inlineStr">
        <is>
          <t>enumerate_products</t>
        </is>
      </c>
      <c r="F546" s="2" t="inlineStr">
        <is>
          <t>국민은행이 공시한 적금 상품 전체 목록은?</t>
        </is>
      </c>
      <c r="G546" s="2" t="inlineStr">
        <is>
          <t>span</t>
        </is>
      </c>
      <c r="H546" s="2" t="inlineStr">
        <is>
          <t>KB 특★한 적금, KB국민프리미엄적금(정액), KB내맘대로적금, KB맑은하늘적금</t>
        </is>
      </c>
      <c r="I546" s="2" t="inlineStr"/>
      <c r="J546" s="2" t="inlineStr">
        <is>
          <t>금융감독원 금융상품통합비교공시 Open API (finlife.fss.or.kr), 202608</t>
        </is>
      </c>
      <c r="K546" s="2" t="inlineStr">
        <is>
          <t>국민은행:saving:baseList</t>
        </is>
      </c>
      <c r="L546" s="2" t="inlineStr">
        <is>
          <t>KB 특★한 적금; KB국민프리미엄적금(정액); KB내맘대로적금; KB맑은하늘적금</t>
        </is>
      </c>
    </row>
    <row r="547">
      <c r="A547" s="2" t="inlineStr">
        <is>
          <t>PRD-0546</t>
        </is>
      </c>
      <c r="B547" s="2" t="inlineStr">
        <is>
          <t>공시형</t>
        </is>
      </c>
      <c r="C547" s="2" t="inlineStr">
        <is>
          <t>예금</t>
        </is>
      </c>
      <c r="D547" s="2" t="inlineStr">
        <is>
          <t>정기예금</t>
        </is>
      </c>
      <c r="E547" s="2" t="inlineStr">
        <is>
          <t>enumerate_products</t>
        </is>
      </c>
      <c r="F547" s="2" t="inlineStr">
        <is>
          <t>농협은행주식회사의 정기예금 상품을 모두 나열하면?</t>
        </is>
      </c>
      <c r="G547" s="2" t="inlineStr">
        <is>
          <t>span</t>
        </is>
      </c>
      <c r="H547" s="2" t="inlineStr">
        <is>
          <t>NH고향사랑기부예금, NH내가Green초록세상예금, NH올원e예금, NH왈츠회전예금 II</t>
        </is>
      </c>
      <c r="I547" s="2" t="inlineStr"/>
      <c r="J547" s="2" t="inlineStr">
        <is>
          <t>금융감독원 금융상품통합비교공시 Open API (finlife.fss.or.kr), 202608</t>
        </is>
      </c>
      <c r="K547" s="2" t="inlineStr">
        <is>
          <t>농협은행주식회사:deposit:baseList</t>
        </is>
      </c>
      <c r="L547" s="2" t="inlineStr">
        <is>
          <t>NH고향사랑기부예금; NH내가Green초록세상예금; NH올원e예금; NH왈츠회전예금 II</t>
        </is>
      </c>
    </row>
    <row r="548">
      <c r="A548" s="2" t="inlineStr">
        <is>
          <t>PRD-0547</t>
        </is>
      </c>
      <c r="B548" s="2" t="inlineStr">
        <is>
          <t>공시형</t>
        </is>
      </c>
      <c r="C548" s="2" t="inlineStr">
        <is>
          <t>예금</t>
        </is>
      </c>
      <c r="D548" s="2" t="inlineStr">
        <is>
          <t>적금</t>
        </is>
      </c>
      <c r="E548" s="2" t="inlineStr">
        <is>
          <t>enumerate_products</t>
        </is>
      </c>
      <c r="F548" s="2" t="inlineStr">
        <is>
          <t>농협은행주식회사의 적금 상품을 모두 나열하면?</t>
        </is>
      </c>
      <c r="G548" s="2" t="inlineStr">
        <is>
          <t>span</t>
        </is>
      </c>
      <c r="H548" s="2" t="inlineStr">
        <is>
          <t>NH1934월복리적금, NH고향사랑기부적금, NH내가Green초록세상적금, NH올원e 미니적금, NH직장인월복리적금</t>
        </is>
      </c>
      <c r="I548" s="2" t="inlineStr"/>
      <c r="J548" s="2" t="inlineStr">
        <is>
          <t>금융감독원 금융상품통합비교공시 Open API (finlife.fss.or.kr), 202608</t>
        </is>
      </c>
      <c r="K548" s="2" t="inlineStr">
        <is>
          <t>농협은행주식회사:saving:baseList</t>
        </is>
      </c>
      <c r="L548" s="2" t="inlineStr">
        <is>
          <t>NH1934월복리적금; NH고향사랑기부적금; NH내가Green초록세상적금; NH올원e 미니적금; NH직장인월복리적금</t>
        </is>
      </c>
    </row>
    <row r="549">
      <c r="A549" s="2" t="inlineStr">
        <is>
          <t>PRD-0548</t>
        </is>
      </c>
      <c r="B549" s="2" t="inlineStr">
        <is>
          <t>공시형</t>
        </is>
      </c>
      <c r="C549" s="2" t="inlineStr">
        <is>
          <t>예금</t>
        </is>
      </c>
      <c r="D549" s="2" t="inlineStr">
        <is>
          <t>정기예금</t>
        </is>
      </c>
      <c r="E549" s="2" t="inlineStr">
        <is>
          <t>enumerate_products</t>
        </is>
      </c>
      <c r="F549" s="2" t="inlineStr">
        <is>
          <t>부산은행의 정기예금 상품을 모두 나열하면?</t>
        </is>
      </c>
      <c r="G549" s="2" t="inlineStr">
        <is>
          <t>span</t>
        </is>
      </c>
      <c r="H549" s="2" t="inlineStr">
        <is>
          <t>LIVE정기예금, 더(The) 레벨업 정기예금, 더(The) 특판 정기예금</t>
        </is>
      </c>
      <c r="I549" s="2" t="inlineStr"/>
      <c r="J549" s="2" t="inlineStr">
        <is>
          <t>금융감독원 금융상품통합비교공시 Open API (finlife.fss.or.kr), 202608</t>
        </is>
      </c>
      <c r="K549" s="2" t="inlineStr">
        <is>
          <t>부산은행:deposit:baseList</t>
        </is>
      </c>
      <c r="L549" s="2" t="inlineStr">
        <is>
          <t>LIVE정기예금; 더(The) 레벨업 정기예금; 더(The) 특판 정기예금</t>
        </is>
      </c>
    </row>
    <row r="550">
      <c r="A550" s="2" t="inlineStr">
        <is>
          <t>PRD-0549</t>
        </is>
      </c>
      <c r="B550" s="2" t="inlineStr">
        <is>
          <t>공시형</t>
        </is>
      </c>
      <c r="C550" s="2" t="inlineStr">
        <is>
          <t>예금</t>
        </is>
      </c>
      <c r="D550" s="2" t="inlineStr">
        <is>
          <t>적금</t>
        </is>
      </c>
      <c r="E550" s="2" t="inlineStr">
        <is>
          <t>enumerate_products</t>
        </is>
      </c>
      <c r="F550" s="2" t="inlineStr">
        <is>
          <t>부산은행이 공시한 적금 상품 전체 목록은?</t>
        </is>
      </c>
      <c r="G550" s="2" t="inlineStr">
        <is>
          <t>span</t>
        </is>
      </c>
      <c r="H550" s="2" t="inlineStr">
        <is>
          <t>BNK내맘대로 적금, Only One 주거래 우대적금, 부산이라 좋다 Big적금, 저탄소 실천 적금, 펫 적금</t>
        </is>
      </c>
      <c r="I550" s="2" t="inlineStr"/>
      <c r="J550" s="2" t="inlineStr">
        <is>
          <t>금융감독원 금융상품통합비교공시 Open API (finlife.fss.or.kr), 202608</t>
        </is>
      </c>
      <c r="K550" s="2" t="inlineStr">
        <is>
          <t>부산은행:saving:baseList</t>
        </is>
      </c>
      <c r="L550" s="2" t="inlineStr">
        <is>
          <t>BNK내맘대로 적금; Only One 주거래 우대적금; 부산이라 좋다 Big적금; 저탄소 실천 적금; 펫 적금</t>
        </is>
      </c>
    </row>
    <row r="551">
      <c r="A551" s="2" t="inlineStr">
        <is>
          <t>PRD-0550</t>
        </is>
      </c>
      <c r="B551" s="2" t="inlineStr">
        <is>
          <t>공시형</t>
        </is>
      </c>
      <c r="C551" s="2" t="inlineStr">
        <is>
          <t>예금</t>
        </is>
      </c>
      <c r="D551" s="2" t="inlineStr">
        <is>
          <t>정기예금</t>
        </is>
      </c>
      <c r="E551" s="2" t="inlineStr">
        <is>
          <t>enumerate_products</t>
        </is>
      </c>
      <c r="F551" s="2" t="inlineStr">
        <is>
          <t>수협은행의 정기예금 상품을 모두 나열하면?</t>
        </is>
      </c>
      <c r="G551" s="2" t="inlineStr">
        <is>
          <t>span</t>
        </is>
      </c>
      <c r="H551" s="2" t="inlineStr">
        <is>
          <t>Sh첫만남우대예금, Sh해양플라스틱Zero!예금 (만기일시지급식), 헤이(Hey)정기예금</t>
        </is>
      </c>
      <c r="I551" s="2" t="inlineStr"/>
      <c r="J551" s="2" t="inlineStr">
        <is>
          <t>금융감독원 금융상품통합비교공시 Open API (finlife.fss.or.kr), 202608</t>
        </is>
      </c>
      <c r="K551" s="2" t="inlineStr">
        <is>
          <t>수협은행:deposit:baseList</t>
        </is>
      </c>
      <c r="L551" s="2" t="inlineStr">
        <is>
          <t>Sh첫만남우대예금; Sh해양플라스틱Zero!예금 (만기일시지급식); 헤이(Hey)정기예금</t>
        </is>
      </c>
    </row>
    <row r="552">
      <c r="A552" s="2" t="inlineStr">
        <is>
          <t>PRD-0551</t>
        </is>
      </c>
      <c r="B552" s="2" t="inlineStr">
        <is>
          <t>공시형</t>
        </is>
      </c>
      <c r="C552" s="2" t="inlineStr">
        <is>
          <t>예금</t>
        </is>
      </c>
      <c r="D552" s="2" t="inlineStr">
        <is>
          <t>적금</t>
        </is>
      </c>
      <c r="E552" s="2" t="inlineStr">
        <is>
          <t>enumerate_products</t>
        </is>
      </c>
      <c r="F552" s="2" t="inlineStr">
        <is>
          <t>수협은행의 적금 상품을 모두 나열하면?</t>
        </is>
      </c>
      <c r="G552" s="2" t="inlineStr">
        <is>
          <t>span</t>
        </is>
      </c>
      <c r="H552" s="2" t="inlineStr">
        <is>
          <t>Sh월복리자유적금, Sh해양플라스틱Zero!적금 (자유적립식), Sh해양플라스틱Zero!적금 (정액적립식), 헤이(Hey)적금 (자유적립식), 헤이(Hey)적금 (정액적립식)</t>
        </is>
      </c>
      <c r="I552" s="2" t="inlineStr"/>
      <c r="J552" s="2" t="inlineStr">
        <is>
          <t>금융감독원 금융상품통합비교공시 Open API (finlife.fss.or.kr), 202608</t>
        </is>
      </c>
      <c r="K552" s="2" t="inlineStr">
        <is>
          <t>수협은행:saving:baseList</t>
        </is>
      </c>
      <c r="L552" s="2" t="inlineStr">
        <is>
          <t>Sh월복리자유적금; Sh해양플라스틱Zero!적금 (자유적립식); Sh해양플라스틱Zero!적금 (정액적립식); 헤이(Hey)적금 (자유적립식); 헤이(Hey)적금 (정액적립식)</t>
        </is>
      </c>
    </row>
    <row r="553">
      <c r="A553" s="2" t="inlineStr">
        <is>
          <t>PRD-0552</t>
        </is>
      </c>
      <c r="B553" s="2" t="inlineStr">
        <is>
          <t>공시형</t>
        </is>
      </c>
      <c r="C553" s="2" t="inlineStr">
        <is>
          <t>예금</t>
        </is>
      </c>
      <c r="D553" s="2" t="inlineStr">
        <is>
          <t>정기예금</t>
        </is>
      </c>
      <c r="E553" s="2" t="inlineStr">
        <is>
          <t>enumerate_products</t>
        </is>
      </c>
      <c r="F553" s="2" t="inlineStr">
        <is>
          <t>신한은행의 정기예금 상품을 모두 나열하면?</t>
        </is>
      </c>
      <c r="G553" s="2" t="inlineStr">
        <is>
          <t>span</t>
        </is>
      </c>
      <c r="H553" s="2" t="inlineStr">
        <is>
          <t>신한My플러스 정기예금, 쏠편한 정기예금</t>
        </is>
      </c>
      <c r="I553" s="2" t="inlineStr"/>
      <c r="J553" s="2" t="inlineStr">
        <is>
          <t>금융감독원 금융상품통합비교공시 Open API (finlife.fss.or.kr), 202608</t>
        </is>
      </c>
      <c r="K553" s="2" t="inlineStr">
        <is>
          <t>신한은행:deposit:baseList</t>
        </is>
      </c>
      <c r="L553" s="2" t="inlineStr">
        <is>
          <t>신한My플러스 정기예금; 쏠편한 정기예금</t>
        </is>
      </c>
    </row>
    <row r="554">
      <c r="A554" s="2" t="inlineStr">
        <is>
          <t>PRD-0553</t>
        </is>
      </c>
      <c r="B554" s="2" t="inlineStr">
        <is>
          <t>공시형</t>
        </is>
      </c>
      <c r="C554" s="2" t="inlineStr">
        <is>
          <t>예금</t>
        </is>
      </c>
      <c r="D554" s="2" t="inlineStr">
        <is>
          <t>정기예금</t>
        </is>
      </c>
      <c r="E554" s="2" t="inlineStr">
        <is>
          <t>enumerate_products</t>
        </is>
      </c>
      <c r="F554" s="2" t="inlineStr">
        <is>
          <t>아이엠뱅크가 공시한 정기예금 상품 전체 목록은?</t>
        </is>
      </c>
      <c r="G554" s="2" t="inlineStr">
        <is>
          <t>span</t>
        </is>
      </c>
      <c r="H554" s="2" t="inlineStr">
        <is>
          <t>iM스마트예금, iM함께예금</t>
        </is>
      </c>
      <c r="I554" s="2" t="inlineStr"/>
      <c r="J554" s="2" t="inlineStr">
        <is>
          <t>금융감독원 금융상품통합비교공시 Open API (finlife.fss.or.kr), 202608</t>
        </is>
      </c>
      <c r="K554" s="2" t="inlineStr">
        <is>
          <t>아이엠뱅크:deposit:baseList</t>
        </is>
      </c>
      <c r="L554" s="2" t="inlineStr">
        <is>
          <t>iM스마트예금; iM함께예금</t>
        </is>
      </c>
    </row>
    <row r="555">
      <c r="A555" s="2" t="inlineStr">
        <is>
          <t>PRD-0554</t>
        </is>
      </c>
      <c r="B555" s="2" t="inlineStr">
        <is>
          <t>공시형</t>
        </is>
      </c>
      <c r="C555" s="2" t="inlineStr">
        <is>
          <t>예금</t>
        </is>
      </c>
      <c r="D555" s="2" t="inlineStr">
        <is>
          <t>적금</t>
        </is>
      </c>
      <c r="E555" s="2" t="inlineStr">
        <is>
          <t>enumerate_products</t>
        </is>
      </c>
      <c r="F555" s="2" t="inlineStr">
        <is>
          <t>우리은행의 적금 상품을 모두 나열하면?</t>
        </is>
      </c>
      <c r="G555" s="2" t="inlineStr">
        <is>
          <t>span</t>
        </is>
      </c>
      <c r="H555" s="2" t="inlineStr">
        <is>
          <t>WON적금, 우리SUPER주거래적금</t>
        </is>
      </c>
      <c r="I555" s="2" t="inlineStr"/>
      <c r="J555" s="2" t="inlineStr">
        <is>
          <t>금융감독원 금융상품통합비교공시 Open API (finlife.fss.or.kr), 202608</t>
        </is>
      </c>
      <c r="K555" s="2" t="inlineStr">
        <is>
          <t>우리은행:saving:baseList</t>
        </is>
      </c>
      <c r="L555" s="2" t="inlineStr">
        <is>
          <t>WON적금; 우리SUPER주거래적금</t>
        </is>
      </c>
    </row>
    <row r="556">
      <c r="A556" s="2" t="inlineStr">
        <is>
          <t>PRD-0555</t>
        </is>
      </c>
      <c r="B556" s="2" t="inlineStr">
        <is>
          <t>공시형</t>
        </is>
      </c>
      <c r="C556" s="2" t="inlineStr">
        <is>
          <t>예금</t>
        </is>
      </c>
      <c r="D556" s="2" t="inlineStr">
        <is>
          <t>정기예금</t>
        </is>
      </c>
      <c r="E556" s="2" t="inlineStr">
        <is>
          <t>enumerate_products</t>
        </is>
      </c>
      <c r="F556" s="2" t="inlineStr">
        <is>
          <t>전북은행의 정기예금 상품을 모두 나열하면?</t>
        </is>
      </c>
      <c r="G556" s="2" t="inlineStr">
        <is>
          <t>span</t>
        </is>
      </c>
      <c r="H556" s="2" t="inlineStr">
        <is>
          <t>JB 123 정기예금 (만기일시지급식), JB 다이렉트예금통장 (만기일시지급식), 내맘 쏙 정기예금</t>
        </is>
      </c>
      <c r="I556" s="2" t="inlineStr"/>
      <c r="J556" s="2" t="inlineStr">
        <is>
          <t>금융감독원 금융상품통합비교공시 Open API (finlife.fss.or.kr), 202608</t>
        </is>
      </c>
      <c r="K556" s="2" t="inlineStr">
        <is>
          <t>전북은행:deposit:baseList</t>
        </is>
      </c>
      <c r="L556" s="2" t="inlineStr">
        <is>
          <t>JB 123 정기예금 (만기일시지급식); JB 다이렉트예금통장 (만기일시지급식); 내맘 쏙 정기예금</t>
        </is>
      </c>
    </row>
    <row r="557">
      <c r="A557" s="2" t="inlineStr">
        <is>
          <t>PRD-0556</t>
        </is>
      </c>
      <c r="B557" s="2" t="inlineStr">
        <is>
          <t>공시형</t>
        </is>
      </c>
      <c r="C557" s="2" t="inlineStr">
        <is>
          <t>예금</t>
        </is>
      </c>
      <c r="D557" s="2" t="inlineStr">
        <is>
          <t>적금</t>
        </is>
      </c>
      <c r="E557" s="2" t="inlineStr">
        <is>
          <t>enumerate_products</t>
        </is>
      </c>
      <c r="F557" s="2" t="inlineStr">
        <is>
          <t>전북은행이 공시한 적금 상품 전체 목록은?</t>
        </is>
      </c>
      <c r="G557" s="2" t="inlineStr">
        <is>
          <t>span</t>
        </is>
      </c>
      <c r="H557" s="2" t="inlineStr">
        <is>
          <t>JB 다이렉트적금(자유적립식), JB 다이렉트적금(정액적립식)</t>
        </is>
      </c>
      <c r="I557" s="2" t="inlineStr"/>
      <c r="J557" s="2" t="inlineStr">
        <is>
          <t>금융감독원 금융상품통합비교공시 Open API (finlife.fss.or.kr), 202608</t>
        </is>
      </c>
      <c r="K557" s="2" t="inlineStr">
        <is>
          <t>전북은행:saving:baseList</t>
        </is>
      </c>
      <c r="L557" s="2" t="inlineStr">
        <is>
          <t>JB 다이렉트적금(자유적립식); JB 다이렉트적금(정액적립식)</t>
        </is>
      </c>
    </row>
    <row r="558">
      <c r="A558" s="2" t="inlineStr">
        <is>
          <t>PRD-0557</t>
        </is>
      </c>
      <c r="B558" s="2" t="inlineStr">
        <is>
          <t>공시형</t>
        </is>
      </c>
      <c r="C558" s="2" t="inlineStr">
        <is>
          <t>예금</t>
        </is>
      </c>
      <c r="D558" s="2" t="inlineStr">
        <is>
          <t>정기예금</t>
        </is>
      </c>
      <c r="E558" s="2" t="inlineStr">
        <is>
          <t>enumerate_products</t>
        </is>
      </c>
      <c r="F558" s="2" t="inlineStr">
        <is>
          <t>제주은행의 정기예금 상품을 모두 나열하면?</t>
        </is>
      </c>
      <c r="G558" s="2" t="inlineStr">
        <is>
          <t>span</t>
        </is>
      </c>
      <c r="H558" s="2" t="inlineStr">
        <is>
          <t>J정기예금 (만기지급식), 스마일드림 정기예금 (개인/선이자 지급식), 제주Dream 정기예금 (개인/만기 지급식)</t>
        </is>
      </c>
      <c r="I558" s="2" t="inlineStr"/>
      <c r="J558" s="2" t="inlineStr">
        <is>
          <t>금융감독원 금융상품통합비교공시 Open API (finlife.fss.or.kr), 202608</t>
        </is>
      </c>
      <c r="K558" s="2" t="inlineStr">
        <is>
          <t>제주은행:deposit:baseList</t>
        </is>
      </c>
      <c r="L558" s="2" t="inlineStr">
        <is>
          <t>J정기예금 (만기지급식); 스마일드림 정기예금 (개인/선이자 지급식); 제주Dream 정기예금 (개인/만기 지급식)</t>
        </is>
      </c>
    </row>
    <row r="559">
      <c r="A559" s="2" t="inlineStr">
        <is>
          <t>PRD-0558</t>
        </is>
      </c>
      <c r="B559" s="2" t="inlineStr">
        <is>
          <t>공시형</t>
        </is>
      </c>
      <c r="C559" s="2" t="inlineStr">
        <is>
          <t>예금</t>
        </is>
      </c>
      <c r="D559" s="2" t="inlineStr">
        <is>
          <t>적금</t>
        </is>
      </c>
      <c r="E559" s="2" t="inlineStr">
        <is>
          <t>enumerate_products</t>
        </is>
      </c>
      <c r="F559" s="2" t="inlineStr">
        <is>
          <t>제주은행의 적금 상품을 모두 나열하면?</t>
        </is>
      </c>
      <c r="G559" s="2" t="inlineStr">
        <is>
          <t>span</t>
        </is>
      </c>
      <c r="H559" s="2" t="inlineStr">
        <is>
          <t>MZ 플랜적금, jbank 저금통적금, 사이버우대매일부금</t>
        </is>
      </c>
      <c r="I559" s="2" t="inlineStr"/>
      <c r="J559" s="2" t="inlineStr">
        <is>
          <t>금융감독원 금융상품통합비교공시 Open API (finlife.fss.or.kr), 202608</t>
        </is>
      </c>
      <c r="K559" s="2" t="inlineStr">
        <is>
          <t>제주은행:saving:baseList</t>
        </is>
      </c>
      <c r="L559" s="2" t="inlineStr">
        <is>
          <t>MZ 플랜적금; jbank 저금통적금; 사이버우대매일부금</t>
        </is>
      </c>
    </row>
    <row r="560">
      <c r="A560" s="2" t="inlineStr">
        <is>
          <t>PRD-0559</t>
        </is>
      </c>
      <c r="B560" s="2" t="inlineStr">
        <is>
          <t>공시형</t>
        </is>
      </c>
      <c r="C560" s="2" t="inlineStr">
        <is>
          <t>예금</t>
        </is>
      </c>
      <c r="D560" s="2" t="inlineStr">
        <is>
          <t>적금</t>
        </is>
      </c>
      <c r="E560" s="2" t="inlineStr">
        <is>
          <t>enumerate_products</t>
        </is>
      </c>
      <c r="F560" s="2" t="inlineStr">
        <is>
          <t>주식회사 카카오뱅크가 공시한 적금 상품 전체 목록은?</t>
        </is>
      </c>
      <c r="G560" s="2" t="inlineStr">
        <is>
          <t>span</t>
        </is>
      </c>
      <c r="H560" s="2" t="inlineStr">
        <is>
          <t>카카오뱅크 26주적금, 카카오뱅크 우리아이적금, 카카오뱅크 자유적금, 카카오뱅크 한달적금</t>
        </is>
      </c>
      <c r="I560" s="2" t="inlineStr"/>
      <c r="J560" s="2" t="inlineStr">
        <is>
          <t>금융감독원 금융상품통합비교공시 Open API (finlife.fss.or.kr), 202608</t>
        </is>
      </c>
      <c r="K560" s="2" t="inlineStr">
        <is>
          <t>주식회사 카카오뱅크:saving:baseList</t>
        </is>
      </c>
      <c r="L560" s="2" t="inlineStr">
        <is>
          <t>카카오뱅크 26주적금; 카카오뱅크 우리아이적금; 카카오뱅크 자유적금; 카카오뱅크 한달적금</t>
        </is>
      </c>
    </row>
    <row r="561">
      <c r="A561" s="2" t="inlineStr">
        <is>
          <t>PRD-0560</t>
        </is>
      </c>
      <c r="B561" s="2" t="inlineStr">
        <is>
          <t>공시형</t>
        </is>
      </c>
      <c r="C561" s="2" t="inlineStr">
        <is>
          <t>예금</t>
        </is>
      </c>
      <c r="D561" s="2" t="inlineStr">
        <is>
          <t>적금</t>
        </is>
      </c>
      <c r="E561" s="2" t="inlineStr">
        <is>
          <t>enumerate_products</t>
        </is>
      </c>
      <c r="F561" s="2" t="inlineStr">
        <is>
          <t>주식회사 케이뱅크가 공시한 적금 상품 전체 목록은?</t>
        </is>
      </c>
      <c r="G561" s="2" t="inlineStr">
        <is>
          <t>span</t>
        </is>
      </c>
      <c r="H561" s="2" t="inlineStr">
        <is>
          <t>궁금한 적금, 데굴데굴 농장, 마이키즈 적금, 주거래우대 자유적금, 코드K 자유적금</t>
        </is>
      </c>
      <c r="I561" s="2" t="inlineStr"/>
      <c r="J561" s="2" t="inlineStr">
        <is>
          <t>금융감독원 금융상품통합비교공시 Open API (finlife.fss.or.kr), 202608</t>
        </is>
      </c>
      <c r="K561" s="2" t="inlineStr">
        <is>
          <t>주식회사 케이뱅크:saving:baseList</t>
        </is>
      </c>
      <c r="L561" s="2" t="inlineStr">
        <is>
          <t>궁금한 적금; 데굴데굴 농장; 마이키즈 적금; 주거래우대 자유적금; 코드K 자유적금</t>
        </is>
      </c>
    </row>
    <row r="562">
      <c r="A562" s="2" t="inlineStr">
        <is>
          <t>PRD-0561</t>
        </is>
      </c>
      <c r="B562" s="2" t="inlineStr">
        <is>
          <t>공시형</t>
        </is>
      </c>
      <c r="C562" s="2" t="inlineStr">
        <is>
          <t>예금</t>
        </is>
      </c>
      <c r="D562" s="2" t="inlineStr">
        <is>
          <t>적금</t>
        </is>
      </c>
      <c r="E562" s="2" t="inlineStr">
        <is>
          <t>enumerate_products</t>
        </is>
      </c>
      <c r="F562" s="2" t="inlineStr">
        <is>
          <t>주식회사 하나은행의 적금 상품을 모두 나열하면?</t>
        </is>
      </c>
      <c r="G562" s="2" t="inlineStr">
        <is>
          <t>span</t>
        </is>
      </c>
      <c r="H562" s="2" t="inlineStr">
        <is>
          <t>내맘적금, 주거래하나 월복리적금</t>
        </is>
      </c>
      <c r="I562" s="2" t="inlineStr"/>
      <c r="J562" s="2" t="inlineStr">
        <is>
          <t>금융감독원 금융상품통합비교공시 Open API (finlife.fss.or.kr), 202608</t>
        </is>
      </c>
      <c r="K562" s="2" t="inlineStr">
        <is>
          <t>주식회사 하나은행:saving:baseList</t>
        </is>
      </c>
      <c r="L562" s="2" t="inlineStr">
        <is>
          <t>내맘적금; 주거래하나 월복리적금</t>
        </is>
      </c>
    </row>
    <row r="563">
      <c r="A563" s="2" t="inlineStr">
        <is>
          <t>PRD-0562</t>
        </is>
      </c>
      <c r="B563" s="2" t="inlineStr">
        <is>
          <t>공시형</t>
        </is>
      </c>
      <c r="C563" s="2" t="inlineStr">
        <is>
          <t>예금</t>
        </is>
      </c>
      <c r="D563" s="2" t="inlineStr">
        <is>
          <t>정기예금</t>
        </is>
      </c>
      <c r="E563" s="2" t="inlineStr">
        <is>
          <t>enumerate_products</t>
        </is>
      </c>
      <c r="F563" s="2" t="inlineStr">
        <is>
          <t>중소기업은행의 정기예금 상품을 모두 나열하면?</t>
        </is>
      </c>
      <c r="G563" s="2" t="inlineStr">
        <is>
          <t>span</t>
        </is>
      </c>
      <c r="H563" s="2" t="inlineStr">
        <is>
          <t>IBK굴리기통장(정기예금), IBK더굴리기통장(실세금리정기예금), IBK평생한가족통장(실세금리정기예금)</t>
        </is>
      </c>
      <c r="I563" s="2" t="inlineStr"/>
      <c r="J563" s="2" t="inlineStr">
        <is>
          <t>금융감독원 금융상품통합비교공시 Open API (finlife.fss.or.kr), 202608</t>
        </is>
      </c>
      <c r="K563" s="2" t="inlineStr">
        <is>
          <t>중소기업은행:deposit:baseList</t>
        </is>
      </c>
      <c r="L563" s="2" t="inlineStr">
        <is>
          <t>IBK굴리기통장(정기예금); IBK더굴리기통장(실세금리정기예금); IBK평생한가족통장(실세금리정기예금)</t>
        </is>
      </c>
    </row>
    <row r="564">
      <c r="A564" s="2" t="inlineStr">
        <is>
          <t>PRD-0563</t>
        </is>
      </c>
      <c r="B564" s="2" t="inlineStr">
        <is>
          <t>공시형</t>
        </is>
      </c>
      <c r="C564" s="2" t="inlineStr">
        <is>
          <t>예금</t>
        </is>
      </c>
      <c r="D564" s="2" t="inlineStr">
        <is>
          <t>적금</t>
        </is>
      </c>
      <c r="E564" s="2" t="inlineStr">
        <is>
          <t>enumerate_products</t>
        </is>
      </c>
      <c r="F564" s="2" t="inlineStr">
        <is>
          <t>중소기업은행이 공시한 적금 상품 전체 목록은?</t>
        </is>
      </c>
      <c r="G564" s="2" t="inlineStr">
        <is>
          <t>span</t>
        </is>
      </c>
      <c r="H564" s="2" t="inlineStr">
        <is>
          <t>IBK D-day적금(자유적립식), IBK모으기통장(자유적립식), IBK중기근로자우대적금 (자유적립식), IBK탄소제로적금(자유적립식)</t>
        </is>
      </c>
      <c r="I564" s="2" t="inlineStr"/>
      <c r="J564" s="2" t="inlineStr">
        <is>
          <t>금융감독원 금융상품통합비교공시 Open API (finlife.fss.or.kr), 202608</t>
        </is>
      </c>
      <c r="K564" s="2" t="inlineStr">
        <is>
          <t>중소기업은행:saving:baseList</t>
        </is>
      </c>
      <c r="L564" s="2" t="inlineStr">
        <is>
          <t>IBK D-day적금(자유적립식); IBK모으기통장(자유적립식); IBK중기근로자우대적금 (자유적립식); IBK탄소제로적금(자유적립식)</t>
        </is>
      </c>
    </row>
    <row r="565">
      <c r="A565" s="2" t="inlineStr">
        <is>
          <t>PRD-0564</t>
        </is>
      </c>
      <c r="B565" s="2" t="inlineStr">
        <is>
          <t>공시형</t>
        </is>
      </c>
      <c r="C565" s="2" t="inlineStr">
        <is>
          <t>예금</t>
        </is>
      </c>
      <c r="D565" s="2" t="inlineStr">
        <is>
          <t>적금</t>
        </is>
      </c>
      <c r="E565" s="2" t="inlineStr">
        <is>
          <t>enumerate_products</t>
        </is>
      </c>
      <c r="F565" s="2" t="inlineStr">
        <is>
          <t>토스뱅크 주식회사가 공시한 적금 상품 전체 목록은?</t>
        </is>
      </c>
      <c r="G565" s="2" t="inlineStr">
        <is>
          <t>span</t>
        </is>
      </c>
      <c r="H565" s="2" t="inlineStr">
        <is>
          <t>토스뱅크 굴비 적금, 토스뱅크 아이 적금, 토스뱅크 자유 적금</t>
        </is>
      </c>
      <c r="I565" s="2" t="inlineStr"/>
      <c r="J565" s="2" t="inlineStr">
        <is>
          <t>금융감독원 금융상품통합비교공시 Open API (finlife.fss.or.kr), 202608</t>
        </is>
      </c>
      <c r="K565" s="2" t="inlineStr">
        <is>
          <t>토스뱅크 주식회사:saving:baseList</t>
        </is>
      </c>
      <c r="L565" s="2" t="inlineStr">
        <is>
          <t>토스뱅크 굴비 적금; 토스뱅크 아이 적금; 토스뱅크 자유 적금</t>
        </is>
      </c>
    </row>
    <row r="566">
      <c r="A566" s="2" t="inlineStr">
        <is>
          <t>PRD-0565</t>
        </is>
      </c>
      <c r="B566" s="2" t="inlineStr">
        <is>
          <t>공시형</t>
        </is>
      </c>
      <c r="C566" s="2" t="inlineStr">
        <is>
          <t>예금</t>
        </is>
      </c>
      <c r="D566" s="2" t="inlineStr">
        <is>
          <t>정기예금</t>
        </is>
      </c>
      <c r="E566" s="2" t="inlineStr">
        <is>
          <t>calc_interest</t>
        </is>
      </c>
      <c r="F566" s="2" t="inlineStr">
        <is>
          <t>경남은행 'BNK더조은정기예금'의 공시 기본금리(단리)로 30,000,000원을 12개월 예치하면 세전 이자는 총 얼마인가?</t>
        </is>
      </c>
      <c r="G566" s="2" t="inlineStr">
        <is>
          <t>numeric</t>
        </is>
      </c>
      <c r="H566" s="2" t="inlineStr">
        <is>
          <t>615000</t>
        </is>
      </c>
      <c r="I566" s="2" t="inlineStr">
        <is>
          <t>원</t>
        </is>
      </c>
      <c r="J566" s="2" t="inlineStr">
        <is>
          <t>금융감독원 금융상품통합비교공시 Open API (finlife.fss.or.kr), 202608</t>
        </is>
      </c>
      <c r="K566" s="2" t="inlineStr">
        <is>
          <t>경남은행:21001115:intr_rate(12개월,단리)</t>
        </is>
      </c>
      <c r="L566" s="2" t="inlineStr">
        <is>
          <t>2.05</t>
        </is>
      </c>
    </row>
    <row r="567">
      <c r="A567" s="2" t="inlineStr">
        <is>
          <t>PRD-0566</t>
        </is>
      </c>
      <c r="B567" s="2" t="inlineStr">
        <is>
          <t>공시형</t>
        </is>
      </c>
      <c r="C567" s="2" t="inlineStr">
        <is>
          <t>예금</t>
        </is>
      </c>
      <c r="D567" s="2" t="inlineStr">
        <is>
          <t>정기예금</t>
        </is>
      </c>
      <c r="E567" s="2" t="inlineStr">
        <is>
          <t>calc_interest</t>
        </is>
      </c>
      <c r="F567" s="2" t="inlineStr">
        <is>
          <t>경남은행 'The든든예금(시즌2)'의 공시 기본금리(단리)로 30,000,000원을 12개월 예치하면 세전 이자는 총 얼마인가?</t>
        </is>
      </c>
      <c r="G567" s="2" t="inlineStr">
        <is>
          <t>numeric</t>
        </is>
      </c>
      <c r="H567" s="2" t="inlineStr">
        <is>
          <t>690000</t>
        </is>
      </c>
      <c r="I567" s="2" t="inlineStr">
        <is>
          <t>원</t>
        </is>
      </c>
      <c r="J567" s="2" t="inlineStr">
        <is>
          <t>금융감독원 금융상품통합비교공시 Open API (finlife.fss.or.kr), 202608</t>
        </is>
      </c>
      <c r="K567" s="2" t="inlineStr">
        <is>
          <t>경남은행:21001280:intr_rate(12개월,단리)</t>
        </is>
      </c>
      <c r="L567" s="2" t="inlineStr">
        <is>
          <t>2.3</t>
        </is>
      </c>
    </row>
    <row r="568">
      <c r="A568" s="2" t="inlineStr">
        <is>
          <t>PRD-0567</t>
        </is>
      </c>
      <c r="B568" s="2" t="inlineStr">
        <is>
          <t>공시형</t>
        </is>
      </c>
      <c r="C568" s="2" t="inlineStr">
        <is>
          <t>예금</t>
        </is>
      </c>
      <c r="D568" s="2" t="inlineStr">
        <is>
          <t>정기예금</t>
        </is>
      </c>
      <c r="E568" s="2" t="inlineStr">
        <is>
          <t>calc_interest</t>
        </is>
      </c>
      <c r="F568" s="2" t="inlineStr">
        <is>
          <t>경남은행 'The파트너예금'에 5,000,000원을 12개월 만기로 예치하면 만기 세전 이자는 얼마인가? (단리, 공시 기본금리 기준)</t>
        </is>
      </c>
      <c r="G568" s="2" t="inlineStr">
        <is>
          <t>numeric</t>
        </is>
      </c>
      <c r="H568" s="2" t="inlineStr">
        <is>
          <t>157500</t>
        </is>
      </c>
      <c r="I568" s="2" t="inlineStr">
        <is>
          <t>원</t>
        </is>
      </c>
      <c r="J568" s="2" t="inlineStr">
        <is>
          <t>금융감독원 금융상품통합비교공시 Open API (finlife.fss.or.kr), 202608</t>
        </is>
      </c>
      <c r="K568" s="2" t="inlineStr">
        <is>
          <t>경남은행:21001285:intr_rate(12개월,단리)</t>
        </is>
      </c>
      <c r="L568" s="2" t="inlineStr">
        <is>
          <t>3.15</t>
        </is>
      </c>
    </row>
    <row r="569">
      <c r="A569" s="2" t="inlineStr">
        <is>
          <t>PRD-0568</t>
        </is>
      </c>
      <c r="B569" s="2" t="inlineStr">
        <is>
          <t>공시형</t>
        </is>
      </c>
      <c r="C569" s="2" t="inlineStr">
        <is>
          <t>예금</t>
        </is>
      </c>
      <c r="D569" s="2" t="inlineStr">
        <is>
          <t>정기예금</t>
        </is>
      </c>
      <c r="E569" s="2" t="inlineStr">
        <is>
          <t>calc_interest</t>
        </is>
      </c>
      <c r="F569" s="2" t="inlineStr">
        <is>
          <t>10,000,000원을 광주은행 '스마트모아Dream정기예금'에 12개월 예치할 때 받는 세전 이자를 계산하면? (단리, 공시 기본금리 기준)</t>
        </is>
      </c>
      <c r="G569" s="2" t="inlineStr">
        <is>
          <t>numeric</t>
        </is>
      </c>
      <c r="H569" s="2" t="inlineStr">
        <is>
          <t>323000</t>
        </is>
      </c>
      <c r="I569" s="2" t="inlineStr">
        <is>
          <t>원</t>
        </is>
      </c>
      <c r="J569" s="2" t="inlineStr">
        <is>
          <t>금융감독원 금융상품통합비교공시 Open API (finlife.fss.or.kr), 202608</t>
        </is>
      </c>
      <c r="K569" s="2" t="inlineStr">
        <is>
          <t>광주은행:TD11300031000:intr_rate(12개월,단리)</t>
        </is>
      </c>
      <c r="L569" s="2" t="inlineStr">
        <is>
          <t>3.23</t>
        </is>
      </c>
    </row>
    <row r="570">
      <c r="A570" s="2" t="inlineStr">
        <is>
          <t>PRD-0569</t>
        </is>
      </c>
      <c r="B570" s="2" t="inlineStr">
        <is>
          <t>공시형</t>
        </is>
      </c>
      <c r="C570" s="2" t="inlineStr">
        <is>
          <t>예금</t>
        </is>
      </c>
      <c r="D570" s="2" t="inlineStr">
        <is>
          <t>정기예금</t>
        </is>
      </c>
      <c r="E570" s="2" t="inlineStr">
        <is>
          <t>calc_interest</t>
        </is>
      </c>
      <c r="F570" s="2" t="inlineStr">
        <is>
          <t>광주은행 '굿스타트예금'에 10,000,000원을 12개월 만기로 예치하면 만기 세전 이자는 얼마인가? (단리, 공시 기본금리 기준)</t>
        </is>
      </c>
      <c r="G570" s="2" t="inlineStr">
        <is>
          <t>numeric</t>
        </is>
      </c>
      <c r="H570" s="2" t="inlineStr">
        <is>
          <t>313000</t>
        </is>
      </c>
      <c r="I570" s="2" t="inlineStr">
        <is>
          <t>원</t>
        </is>
      </c>
      <c r="J570" s="2" t="inlineStr">
        <is>
          <t>금융감독원 금융상품통합비교공시 Open API (finlife.fss.or.kr), 202608</t>
        </is>
      </c>
      <c r="K570" s="2" t="inlineStr">
        <is>
          <t>광주은행:TD11300035000:intr_rate(12개월,단리)</t>
        </is>
      </c>
      <c r="L570" s="2" t="inlineStr">
        <is>
          <t>3.13</t>
        </is>
      </c>
    </row>
    <row r="571">
      <c r="A571" s="2" t="inlineStr">
        <is>
          <t>PRD-0570</t>
        </is>
      </c>
      <c r="B571" s="2" t="inlineStr">
        <is>
          <t>공시형</t>
        </is>
      </c>
      <c r="C571" s="2" t="inlineStr">
        <is>
          <t>예금</t>
        </is>
      </c>
      <c r="D571" s="2" t="inlineStr">
        <is>
          <t>정기예금</t>
        </is>
      </c>
      <c r="E571" s="2" t="inlineStr">
        <is>
          <t>calc_interest</t>
        </is>
      </c>
      <c r="F571" s="2" t="inlineStr">
        <is>
          <t>광주은행 'The플러스예금'의 공시 기본금리(단리)로 30,000,000원을 12개월 예치하면 세전 이자는 총 얼마인가?</t>
        </is>
      </c>
      <c r="G571" s="2" t="inlineStr">
        <is>
          <t>numeric</t>
        </is>
      </c>
      <c r="H571" s="2" t="inlineStr">
        <is>
          <t>810000</t>
        </is>
      </c>
      <c r="I571" s="2" t="inlineStr">
        <is>
          <t>원</t>
        </is>
      </c>
      <c r="J571" s="2" t="inlineStr">
        <is>
          <t>금융감독원 금융상품통합비교공시 Open API (finlife.fss.or.kr), 202608</t>
        </is>
      </c>
      <c r="K571" s="2" t="inlineStr">
        <is>
          <t>광주은행:TD11300036000:intr_rate(12개월,단리)</t>
        </is>
      </c>
      <c r="L571" s="2" t="inlineStr">
        <is>
          <t>2.7</t>
        </is>
      </c>
    </row>
    <row r="572">
      <c r="A572" s="2" t="inlineStr">
        <is>
          <t>PRD-0571</t>
        </is>
      </c>
      <c r="B572" s="2" t="inlineStr">
        <is>
          <t>공시형</t>
        </is>
      </c>
      <c r="C572" s="2" t="inlineStr">
        <is>
          <t>예금</t>
        </is>
      </c>
      <c r="D572" s="2" t="inlineStr">
        <is>
          <t>정기예금</t>
        </is>
      </c>
      <c r="E572" s="2" t="inlineStr">
        <is>
          <t>calc_interest</t>
        </is>
      </c>
      <c r="F572" s="2" t="inlineStr">
        <is>
          <t>국민은행 'KB Star 정기예금'의 공시 기본금리(단리)로 5,000,000원을 12개월 예치하면 세전 이자는 총 얼마인가?</t>
        </is>
      </c>
      <c r="G572" s="2" t="inlineStr">
        <is>
          <t>numeric</t>
        </is>
      </c>
      <c r="H572" s="2" t="inlineStr">
        <is>
          <t>120000</t>
        </is>
      </c>
      <c r="I572" s="2" t="inlineStr">
        <is>
          <t>원</t>
        </is>
      </c>
      <c r="J572" s="2" t="inlineStr">
        <is>
          <t>금융감독원 금융상품통합비교공시 Open API (finlife.fss.or.kr), 202608</t>
        </is>
      </c>
      <c r="K572" s="2" t="inlineStr">
        <is>
          <t>국민은행:010300100335:intr_rate(12개월,단리)</t>
        </is>
      </c>
      <c r="L572" s="2" t="inlineStr">
        <is>
          <t>2.4</t>
        </is>
      </c>
    </row>
    <row r="573">
      <c r="A573" s="2" t="inlineStr">
        <is>
          <t>PRD-0572</t>
        </is>
      </c>
      <c r="B573" s="2" t="inlineStr">
        <is>
          <t>공시형</t>
        </is>
      </c>
      <c r="C573" s="2" t="inlineStr">
        <is>
          <t>예금</t>
        </is>
      </c>
      <c r="D573" s="2" t="inlineStr">
        <is>
          <t>정기예금</t>
        </is>
      </c>
      <c r="E573" s="2" t="inlineStr">
        <is>
          <t>calc_interest</t>
        </is>
      </c>
      <c r="F573" s="2" t="inlineStr">
        <is>
          <t>30,000,000원을 농협은행주식회사 'NH왈츠회전예금 II'에 12개월 예치할 때 받는 세전 이자를 계산하면? (단리, 공시 기본금리 기준)</t>
        </is>
      </c>
      <c r="G573" s="2" t="inlineStr">
        <is>
          <t>numeric</t>
        </is>
      </c>
      <c r="H573" s="2" t="inlineStr">
        <is>
          <t>945000</t>
        </is>
      </c>
      <c r="I573" s="2" t="inlineStr">
        <is>
          <t>원</t>
        </is>
      </c>
      <c r="J573" s="2" t="inlineStr">
        <is>
          <t>금융감독원 금융상품통합비교공시 Open API (finlife.fss.or.kr), 202608</t>
        </is>
      </c>
      <c r="K573" s="2" t="inlineStr">
        <is>
          <t>농협은행주식회사:10-003-1225-0001:intr_rate(12개월,단리)</t>
        </is>
      </c>
      <c r="L573" s="2" t="inlineStr">
        <is>
          <t>3.15</t>
        </is>
      </c>
    </row>
    <row r="574">
      <c r="A574" s="2" t="inlineStr">
        <is>
          <t>PRD-0573</t>
        </is>
      </c>
      <c r="B574" s="2" t="inlineStr">
        <is>
          <t>공시형</t>
        </is>
      </c>
      <c r="C574" s="2" t="inlineStr">
        <is>
          <t>예금</t>
        </is>
      </c>
      <c r="D574" s="2" t="inlineStr">
        <is>
          <t>정기예금</t>
        </is>
      </c>
      <c r="E574" s="2" t="inlineStr">
        <is>
          <t>calc_interest</t>
        </is>
      </c>
      <c r="F574" s="2" t="inlineStr">
        <is>
          <t>5,000,000원을 농협은행주식회사 'NH내가Green초록세상예금'에 12개월 예치할 때 받는 세전 이자를 계산하면? (단리, 공시 기본금리 기준)</t>
        </is>
      </c>
      <c r="G574" s="2" t="inlineStr">
        <is>
          <t>numeric</t>
        </is>
      </c>
      <c r="H574" s="2" t="inlineStr">
        <is>
          <t>122500</t>
        </is>
      </c>
      <c r="I574" s="2" t="inlineStr">
        <is>
          <t>원</t>
        </is>
      </c>
      <c r="J574" s="2" t="inlineStr">
        <is>
          <t>금융감독원 금융상품통합비교공시 Open API (finlife.fss.or.kr), 202608</t>
        </is>
      </c>
      <c r="K574" s="2" t="inlineStr">
        <is>
          <t>농협은행주식회사:10-003-1381-0001:intr_rate(12개월,단리)</t>
        </is>
      </c>
      <c r="L574" s="2" t="inlineStr">
        <is>
          <t>2.45</t>
        </is>
      </c>
    </row>
    <row r="575">
      <c r="A575" s="2" t="inlineStr">
        <is>
          <t>PRD-0574</t>
        </is>
      </c>
      <c r="B575" s="2" t="inlineStr">
        <is>
          <t>공시형</t>
        </is>
      </c>
      <c r="C575" s="2" t="inlineStr">
        <is>
          <t>예금</t>
        </is>
      </c>
      <c r="D575" s="2" t="inlineStr">
        <is>
          <t>정기예금</t>
        </is>
      </c>
      <c r="E575" s="2" t="inlineStr">
        <is>
          <t>calc_interest</t>
        </is>
      </c>
      <c r="F575" s="2" t="inlineStr">
        <is>
          <t>농협은행주식회사 'NH올원e예금'의 공시 기본금리(단리)로 30,000,000원을 12개월 예치하면 세전 이자는 총 얼마인가?</t>
        </is>
      </c>
      <c r="G575" s="2" t="inlineStr">
        <is>
          <t>numeric</t>
        </is>
      </c>
      <c r="H575" s="2" t="inlineStr">
        <is>
          <t>975000</t>
        </is>
      </c>
      <c r="I575" s="2" t="inlineStr">
        <is>
          <t>원</t>
        </is>
      </c>
      <c r="J575" s="2" t="inlineStr">
        <is>
          <t>금융감독원 금융상품통합비교공시 Open API (finlife.fss.or.kr), 202608</t>
        </is>
      </c>
      <c r="K575" s="2" t="inlineStr">
        <is>
          <t>농협은행주식회사:10-003-1384-0001:intr_rate(12개월,단리)</t>
        </is>
      </c>
      <c r="L575" s="2" t="inlineStr">
        <is>
          <t>3.25</t>
        </is>
      </c>
    </row>
    <row r="576">
      <c r="A576" s="2" t="inlineStr">
        <is>
          <t>PRD-0575</t>
        </is>
      </c>
      <c r="B576" s="2" t="inlineStr">
        <is>
          <t>공시형</t>
        </is>
      </c>
      <c r="C576" s="2" t="inlineStr">
        <is>
          <t>예금</t>
        </is>
      </c>
      <c r="D576" s="2" t="inlineStr">
        <is>
          <t>정기예금</t>
        </is>
      </c>
      <c r="E576" s="2" t="inlineStr">
        <is>
          <t>calc_interest</t>
        </is>
      </c>
      <c r="F576" s="2" t="inlineStr">
        <is>
          <t>5,000,000원을 농협은행주식회사 'NH고향사랑기부예금'에 12개월 예치할 때 받는 세전 이자를 계산하면? (단리, 공시 기본금리 기준)</t>
        </is>
      </c>
      <c r="G576" s="2" t="inlineStr">
        <is>
          <t>numeric</t>
        </is>
      </c>
      <c r="H576" s="2" t="inlineStr">
        <is>
          <t>122500</t>
        </is>
      </c>
      <c r="I576" s="2" t="inlineStr">
        <is>
          <t>원</t>
        </is>
      </c>
      <c r="J576" s="2" t="inlineStr">
        <is>
          <t>금융감독원 금융상품통합비교공시 Open API (finlife.fss.or.kr), 202608</t>
        </is>
      </c>
      <c r="K576" s="2" t="inlineStr">
        <is>
          <t>농협은행주식회사:10-003-1387-0001:intr_rate(12개월,단리)</t>
        </is>
      </c>
      <c r="L576" s="2" t="inlineStr">
        <is>
          <t>2.45</t>
        </is>
      </c>
    </row>
    <row r="577">
      <c r="A577" s="2" t="inlineStr">
        <is>
          <t>PRD-0576</t>
        </is>
      </c>
      <c r="B577" s="2" t="inlineStr">
        <is>
          <t>공시형</t>
        </is>
      </c>
      <c r="C577" s="2" t="inlineStr">
        <is>
          <t>예금</t>
        </is>
      </c>
      <c r="D577" s="2" t="inlineStr">
        <is>
          <t>정기예금</t>
        </is>
      </c>
      <c r="E577" s="2" t="inlineStr">
        <is>
          <t>calc_interest</t>
        </is>
      </c>
      <c r="F577" s="2" t="inlineStr">
        <is>
          <t>부산은행 'LIVE정기예금'의 공시 기본금리(단리)로 5,000,000원을 12개월 예치하면 세전 이자는 총 얼마인가?</t>
        </is>
      </c>
      <c r="G577" s="2" t="inlineStr">
        <is>
          <t>numeric</t>
        </is>
      </c>
      <c r="H577" s="2" t="inlineStr">
        <is>
          <t>112500</t>
        </is>
      </c>
      <c r="I577" s="2" t="inlineStr">
        <is>
          <t>원</t>
        </is>
      </c>
      <c r="J577" s="2" t="inlineStr">
        <is>
          <t>금융감독원 금융상품통합비교공시 Open API (finlife.fss.or.kr), 202608</t>
        </is>
      </c>
      <c r="K577" s="2" t="inlineStr">
        <is>
          <t>부산은행:01030500510002:intr_rate(12개월,단리)</t>
        </is>
      </c>
      <c r="L577" s="2" t="inlineStr">
        <is>
          <t>2.25</t>
        </is>
      </c>
    </row>
    <row r="578">
      <c r="A578" s="2" t="inlineStr">
        <is>
          <t>PRD-0577</t>
        </is>
      </c>
      <c r="B578" s="2" t="inlineStr">
        <is>
          <t>공시형</t>
        </is>
      </c>
      <c r="C578" s="2" t="inlineStr">
        <is>
          <t>예금</t>
        </is>
      </c>
      <c r="D578" s="2" t="inlineStr">
        <is>
          <t>정기예금</t>
        </is>
      </c>
      <c r="E578" s="2" t="inlineStr">
        <is>
          <t>calc_interest</t>
        </is>
      </c>
      <c r="F578" s="2" t="inlineStr">
        <is>
          <t>부산은행 '더(The) 특판 정기예금'에 5,000,000원을 12개월 만기로 예치하면 만기 세전 이자는 얼마인가? (단리, 공시 기본금리 기준)</t>
        </is>
      </c>
      <c r="G578" s="2" t="inlineStr">
        <is>
          <t>numeric</t>
        </is>
      </c>
      <c r="H578" s="2" t="inlineStr">
        <is>
          <t>110000</t>
        </is>
      </c>
      <c r="I578" s="2" t="inlineStr">
        <is>
          <t>원</t>
        </is>
      </c>
      <c r="J578" s="2" t="inlineStr">
        <is>
          <t>금융감독원 금융상품통합비교공시 Open API (finlife.fss.or.kr), 202608</t>
        </is>
      </c>
      <c r="K578" s="2" t="inlineStr">
        <is>
          <t>부산은행:01030500560002:intr_rate(12개월,단리)</t>
        </is>
      </c>
      <c r="L578" s="2" t="inlineStr">
        <is>
          <t>2.2</t>
        </is>
      </c>
    </row>
    <row r="579">
      <c r="A579" s="2" t="inlineStr">
        <is>
          <t>PRD-0578</t>
        </is>
      </c>
      <c r="B579" s="2" t="inlineStr">
        <is>
          <t>공시형</t>
        </is>
      </c>
      <c r="C579" s="2" t="inlineStr">
        <is>
          <t>예금</t>
        </is>
      </c>
      <c r="D579" s="2" t="inlineStr">
        <is>
          <t>정기예금</t>
        </is>
      </c>
      <c r="E579" s="2" t="inlineStr">
        <is>
          <t>calc_interest</t>
        </is>
      </c>
      <c r="F579" s="2" t="inlineStr">
        <is>
          <t>부산은행 '더(The) 레벨업 정기예금'의 공시 기본금리(단리)로 10,000,000원을 12개월 예치하면 세전 이자는 총 얼마인가?</t>
        </is>
      </c>
      <c r="G579" s="2" t="inlineStr">
        <is>
          <t>numeric</t>
        </is>
      </c>
      <c r="H579" s="2" t="inlineStr">
        <is>
          <t>265000</t>
        </is>
      </c>
      <c r="I579" s="2" t="inlineStr">
        <is>
          <t>원</t>
        </is>
      </c>
      <c r="J579" s="2" t="inlineStr">
        <is>
          <t>금융감독원 금융상품통합비교공시 Open API (finlife.fss.or.kr), 202608</t>
        </is>
      </c>
      <c r="K579" s="2" t="inlineStr">
        <is>
          <t>부산은행:01030500600002:intr_rate(12개월,단리)</t>
        </is>
      </c>
      <c r="L579" s="2" t="inlineStr">
        <is>
          <t>2.65</t>
        </is>
      </c>
    </row>
    <row r="580">
      <c r="A580" s="2" t="inlineStr">
        <is>
          <t>PRD-0579</t>
        </is>
      </c>
      <c r="B580" s="2" t="inlineStr">
        <is>
          <t>공시형</t>
        </is>
      </c>
      <c r="C580" s="2" t="inlineStr">
        <is>
          <t>예금</t>
        </is>
      </c>
      <c r="D580" s="2" t="inlineStr">
        <is>
          <t>정기예금</t>
        </is>
      </c>
      <c r="E580" s="2" t="inlineStr">
        <is>
          <t>calc_interest</t>
        </is>
      </c>
      <c r="F580" s="2" t="inlineStr">
        <is>
          <t>수협은행 'Sh해양플라스틱Zero!예금 (만기일시지급식)'에 10,000,000원을 12개월 만기로 예치하면 만기 세전 이자는 얼마인가? (단리, 공시 기본금리 기준)</t>
        </is>
      </c>
      <c r="G580" s="2" t="inlineStr">
        <is>
          <t>numeric</t>
        </is>
      </c>
      <c r="H580" s="2" t="inlineStr">
        <is>
          <t>326000</t>
        </is>
      </c>
      <c r="I580" s="2" t="inlineStr">
        <is>
          <t>원</t>
        </is>
      </c>
      <c r="J580" s="2" t="inlineStr">
        <is>
          <t>금융감독원 금융상품통합비교공시 Open API (finlife.fss.or.kr), 202608</t>
        </is>
      </c>
      <c r="K580" s="2" t="inlineStr">
        <is>
          <t>수협은행:10120114300011:intr_rate(12개월,단리)</t>
        </is>
      </c>
      <c r="L580" s="2" t="inlineStr">
        <is>
          <t>3.26</t>
        </is>
      </c>
    </row>
    <row r="581">
      <c r="A581" s="2" t="inlineStr">
        <is>
          <t>PRD-0580</t>
        </is>
      </c>
      <c r="B581" s="2" t="inlineStr">
        <is>
          <t>공시형</t>
        </is>
      </c>
      <c r="C581" s="2" t="inlineStr">
        <is>
          <t>예금</t>
        </is>
      </c>
      <c r="D581" s="2" t="inlineStr">
        <is>
          <t>정기예금</t>
        </is>
      </c>
      <c r="E581" s="2" t="inlineStr">
        <is>
          <t>calc_interest</t>
        </is>
      </c>
      <c r="F581" s="2" t="inlineStr">
        <is>
          <t>수협은행 '헤이(Hey)정기예금'의 공시 기본금리(단리)로 5,000,000원을 12개월 예치하면 세전 이자는 총 얼마인가?</t>
        </is>
      </c>
      <c r="G581" s="2" t="inlineStr">
        <is>
          <t>numeric</t>
        </is>
      </c>
      <c r="H581" s="2" t="inlineStr">
        <is>
          <t>180500</t>
        </is>
      </c>
      <c r="I581" s="2" t="inlineStr">
        <is>
          <t>원</t>
        </is>
      </c>
      <c r="J581" s="2" t="inlineStr">
        <is>
          <t>금융감독원 금융상품통합비교공시 Open API (finlife.fss.or.kr), 202608</t>
        </is>
      </c>
      <c r="K581" s="2" t="inlineStr">
        <is>
          <t>수협은행:10120114700011:intr_rate(12개월,단리)</t>
        </is>
      </c>
      <c r="L581" s="2" t="inlineStr">
        <is>
          <t>3.61</t>
        </is>
      </c>
    </row>
    <row r="582">
      <c r="A582" s="2" t="inlineStr">
        <is>
          <t>PRD-0581</t>
        </is>
      </c>
      <c r="B582" s="2" t="inlineStr">
        <is>
          <t>공시형</t>
        </is>
      </c>
      <c r="C582" s="2" t="inlineStr">
        <is>
          <t>예금</t>
        </is>
      </c>
      <c r="D582" s="2" t="inlineStr">
        <is>
          <t>정기예금</t>
        </is>
      </c>
      <c r="E582" s="2" t="inlineStr">
        <is>
          <t>calc_interest</t>
        </is>
      </c>
      <c r="F582" s="2" t="inlineStr">
        <is>
          <t>5,000,000원을 수협은행 'Sh첫만남우대예금'에 12개월 예치할 때 받는 세전 이자를 계산하면? (단리, 공시 기본금리 기준)</t>
        </is>
      </c>
      <c r="G582" s="2" t="inlineStr">
        <is>
          <t>numeric</t>
        </is>
      </c>
      <c r="H582" s="2" t="inlineStr">
        <is>
          <t>135000</t>
        </is>
      </c>
      <c r="I582" s="2" t="inlineStr">
        <is>
          <t>원</t>
        </is>
      </c>
      <c r="J582" s="2" t="inlineStr">
        <is>
          <t>금융감독원 금융상품통합비교공시 Open API (finlife.fss.or.kr), 202608</t>
        </is>
      </c>
      <c r="K582" s="2" t="inlineStr">
        <is>
          <t>수협은행:10120116100011:intr_rate(12개월,단리)</t>
        </is>
      </c>
      <c r="L582" s="2" t="inlineStr">
        <is>
          <t>2.7</t>
        </is>
      </c>
    </row>
    <row r="583">
      <c r="A583" s="2" t="inlineStr">
        <is>
          <t>PRD-0582</t>
        </is>
      </c>
      <c r="B583" s="2" t="inlineStr">
        <is>
          <t>공시형</t>
        </is>
      </c>
      <c r="C583" s="2" t="inlineStr">
        <is>
          <t>예금</t>
        </is>
      </c>
      <c r="D583" s="2" t="inlineStr">
        <is>
          <t>정기예금</t>
        </is>
      </c>
      <c r="E583" s="2" t="inlineStr">
        <is>
          <t>calc_interest</t>
        </is>
      </c>
      <c r="F583" s="2" t="inlineStr">
        <is>
          <t>5,000,000원을 신한은행 '신한My플러스 정기예금'에 12개월 예치할 때 받는 세전 이자를 계산하면? (단리, 공시 기본금리 기준)</t>
        </is>
      </c>
      <c r="G583" s="2" t="inlineStr">
        <is>
          <t>numeric</t>
        </is>
      </c>
      <c r="H583" s="2" t="inlineStr">
        <is>
          <t>115000</t>
        </is>
      </c>
      <c r="I583" s="2" t="inlineStr">
        <is>
          <t>원</t>
        </is>
      </c>
      <c r="J583" s="2" t="inlineStr">
        <is>
          <t>금융감독원 금융상품통합비교공시 Open API (finlife.fss.or.kr), 202608</t>
        </is>
      </c>
      <c r="K583" s="2" t="inlineStr">
        <is>
          <t>신한은행:207-0134-16:intr_rate(12개월,단리)</t>
        </is>
      </c>
      <c r="L583" s="2" t="inlineStr">
        <is>
          <t>2.3</t>
        </is>
      </c>
    </row>
    <row r="584">
      <c r="A584" s="2" t="inlineStr">
        <is>
          <t>PRD-0583</t>
        </is>
      </c>
      <c r="B584" s="2" t="inlineStr">
        <is>
          <t>공시형</t>
        </is>
      </c>
      <c r="C584" s="2" t="inlineStr">
        <is>
          <t>예금</t>
        </is>
      </c>
      <c r="D584" s="2" t="inlineStr">
        <is>
          <t>정기예금</t>
        </is>
      </c>
      <c r="E584" s="2" t="inlineStr">
        <is>
          <t>calc_interest</t>
        </is>
      </c>
      <c r="F584" s="2" t="inlineStr">
        <is>
          <t>10,000,000원을 신한은행 '쏠편한 정기예금'에 12개월 예치할 때 받는 세전 이자를 계산하면? (단리, 공시 기본금리 기준)</t>
        </is>
      </c>
      <c r="G584" s="2" t="inlineStr">
        <is>
          <t>numeric</t>
        </is>
      </c>
      <c r="H584" s="2" t="inlineStr">
        <is>
          <t>230000</t>
        </is>
      </c>
      <c r="I584" s="2" t="inlineStr">
        <is>
          <t>원</t>
        </is>
      </c>
      <c r="J584" s="2" t="inlineStr">
        <is>
          <t>금융감독원 금융상품통합비교공시 Open API (finlife.fss.or.kr), 202608</t>
        </is>
      </c>
      <c r="K584" s="2" t="inlineStr">
        <is>
          <t>신한은행:207-0135-12:intr_rate(12개월,단리)</t>
        </is>
      </c>
      <c r="L584" s="2" t="inlineStr">
        <is>
          <t>2.3</t>
        </is>
      </c>
    </row>
    <row r="585">
      <c r="A585" s="2" t="inlineStr">
        <is>
          <t>PRD-0584</t>
        </is>
      </c>
      <c r="B585" s="2" t="inlineStr">
        <is>
          <t>공시형</t>
        </is>
      </c>
      <c r="C585" s="2" t="inlineStr">
        <is>
          <t>예금</t>
        </is>
      </c>
      <c r="D585" s="2" t="inlineStr">
        <is>
          <t>정기예금</t>
        </is>
      </c>
      <c r="E585" s="2" t="inlineStr">
        <is>
          <t>calc_interest</t>
        </is>
      </c>
      <c r="F585" s="2" t="inlineStr">
        <is>
          <t>30,000,000원을 아이엠뱅크 'iM함께예금'에 12개월 예치할 때 받는 세전 이자를 계산하면? (단리, 공시 기본금리 기준)</t>
        </is>
      </c>
      <c r="G585" s="2" t="inlineStr">
        <is>
          <t>numeric</t>
        </is>
      </c>
      <c r="H585" s="2" t="inlineStr">
        <is>
          <t>930000</t>
        </is>
      </c>
      <c r="I585" s="2" t="inlineStr">
        <is>
          <t>원</t>
        </is>
      </c>
      <c r="J585" s="2" t="inlineStr">
        <is>
          <t>금융감독원 금융상품통합비교공시 Open API (finlife.fss.or.kr), 202608</t>
        </is>
      </c>
      <c r="K585" s="2" t="inlineStr">
        <is>
          <t>아이엠뱅크:10511008001166004:intr_rate(12개월,단리)</t>
        </is>
      </c>
      <c r="L585" s="2" t="inlineStr">
        <is>
          <t>3.1</t>
        </is>
      </c>
    </row>
    <row r="586">
      <c r="A586" s="2" t="inlineStr">
        <is>
          <t>PRD-0585</t>
        </is>
      </c>
      <c r="B586" s="2" t="inlineStr">
        <is>
          <t>공시형</t>
        </is>
      </c>
      <c r="C586" s="2" t="inlineStr">
        <is>
          <t>예금</t>
        </is>
      </c>
      <c r="D586" s="2" t="inlineStr">
        <is>
          <t>정기예금</t>
        </is>
      </c>
      <c r="E586" s="2" t="inlineStr">
        <is>
          <t>calc_interest</t>
        </is>
      </c>
      <c r="F586" s="2" t="inlineStr">
        <is>
          <t>10,000,000원을 아이엠뱅크 'iM스마트예금'에 12개월 예치할 때 받는 세전 이자를 계산하면? (단리, 공시 기본금리 기준)</t>
        </is>
      </c>
      <c r="G586" s="2" t="inlineStr">
        <is>
          <t>numeric</t>
        </is>
      </c>
      <c r="H586" s="2" t="inlineStr">
        <is>
          <t>330000</t>
        </is>
      </c>
      <c r="I586" s="2" t="inlineStr">
        <is>
          <t>원</t>
        </is>
      </c>
      <c r="J586" s="2" t="inlineStr">
        <is>
          <t>금융감독원 금융상품통합비교공시 Open API (finlife.fss.or.kr), 202608</t>
        </is>
      </c>
      <c r="K586" s="2" t="inlineStr">
        <is>
          <t>아이엠뱅크:10511008001278000:intr_rate(12개월,단리)</t>
        </is>
      </c>
      <c r="L586" s="2" t="inlineStr">
        <is>
          <t>3.3</t>
        </is>
      </c>
    </row>
    <row r="587">
      <c r="A587" s="2" t="inlineStr">
        <is>
          <t>PRD-0586</t>
        </is>
      </c>
      <c r="B587" s="2" t="inlineStr">
        <is>
          <t>공시형</t>
        </is>
      </c>
      <c r="C587" s="2" t="inlineStr">
        <is>
          <t>예금</t>
        </is>
      </c>
      <c r="D587" s="2" t="inlineStr">
        <is>
          <t>정기예금</t>
        </is>
      </c>
      <c r="E587" s="2" t="inlineStr">
        <is>
          <t>calc_interest</t>
        </is>
      </c>
      <c r="F587" s="2" t="inlineStr">
        <is>
          <t>우리은행 'WON플러스예금'에 10,000,000원을 12개월 만기로 예치하면 만기 세전 이자는 얼마인가? (단리, 공시 기본금리 기준)</t>
        </is>
      </c>
      <c r="G587" s="2" t="inlineStr">
        <is>
          <t>numeric</t>
        </is>
      </c>
      <c r="H587" s="2" t="inlineStr">
        <is>
          <t>320000</t>
        </is>
      </c>
      <c r="I587" s="2" t="inlineStr">
        <is>
          <t>원</t>
        </is>
      </c>
      <c r="J587" s="2" t="inlineStr">
        <is>
          <t>금융감독원 금융상품통합비교공시 Open API (finlife.fss.or.kr), 202608</t>
        </is>
      </c>
      <c r="K587" s="2" t="inlineStr">
        <is>
          <t>우리은행:WR0001B:intr_rate(12개월,단리)</t>
        </is>
      </c>
      <c r="L587" s="2" t="inlineStr">
        <is>
          <t>3.2</t>
        </is>
      </c>
    </row>
    <row r="588">
      <c r="A588" s="2" t="inlineStr">
        <is>
          <t>PRD-0587</t>
        </is>
      </c>
      <c r="B588" s="2" t="inlineStr">
        <is>
          <t>공시형</t>
        </is>
      </c>
      <c r="C588" s="2" t="inlineStr">
        <is>
          <t>예금</t>
        </is>
      </c>
      <c r="D588" s="2" t="inlineStr">
        <is>
          <t>정기예금</t>
        </is>
      </c>
      <c r="E588" s="2" t="inlineStr">
        <is>
          <t>calc_interest</t>
        </is>
      </c>
      <c r="F588" s="2" t="inlineStr">
        <is>
          <t>10,000,000원을 전북은행 'JB 다이렉트예금통장 (만기일시지급식)'에 12개월 예치할 때 받는 세전 이자를 계산하면? (단리, 공시 기본금리 기준)</t>
        </is>
      </c>
      <c r="G588" s="2" t="inlineStr">
        <is>
          <t>numeric</t>
        </is>
      </c>
      <c r="H588" s="2" t="inlineStr">
        <is>
          <t>376000</t>
        </is>
      </c>
      <c r="I588" s="2" t="inlineStr">
        <is>
          <t>원</t>
        </is>
      </c>
      <c r="J588" s="2" t="inlineStr">
        <is>
          <t>금융감독원 금융상품통합비교공시 Open API (finlife.fss.or.kr), 202608</t>
        </is>
      </c>
      <c r="K588" s="2" t="inlineStr">
        <is>
          <t>전북은행:10-01-20-024-0046-0000:intr_rate(12개월,단리)</t>
        </is>
      </c>
      <c r="L588" s="2" t="inlineStr">
        <is>
          <t>3.76</t>
        </is>
      </c>
    </row>
    <row r="589">
      <c r="A589" s="2" t="inlineStr">
        <is>
          <t>PRD-0588</t>
        </is>
      </c>
      <c r="B589" s="2" t="inlineStr">
        <is>
          <t>공시형</t>
        </is>
      </c>
      <c r="C589" s="2" t="inlineStr">
        <is>
          <t>예금</t>
        </is>
      </c>
      <c r="D589" s="2" t="inlineStr">
        <is>
          <t>정기예금</t>
        </is>
      </c>
      <c r="E589" s="2" t="inlineStr">
        <is>
          <t>calc_interest</t>
        </is>
      </c>
      <c r="F589" s="2" t="inlineStr">
        <is>
          <t>전북은행 'JB 123 정기예금 (만기일시지급식)'에 5,000,000원을 12개월 만기로 예치하면 만기 세전 이자는 얼마인가? (단리, 공시 기본금리 기준)</t>
        </is>
      </c>
      <c r="G589" s="2" t="inlineStr">
        <is>
          <t>numeric</t>
        </is>
      </c>
      <c r="H589" s="2" t="inlineStr">
        <is>
          <t>160500</t>
        </is>
      </c>
      <c r="I589" s="2" t="inlineStr">
        <is>
          <t>원</t>
        </is>
      </c>
      <c r="J589" s="2" t="inlineStr">
        <is>
          <t>금융감독원 금융상품통합비교공시 Open API (finlife.fss.or.kr), 202608</t>
        </is>
      </c>
      <c r="K589" s="2" t="inlineStr">
        <is>
          <t>전북은행:10-01-20-024-0059-0000:intr_rate(12개월,단리)</t>
        </is>
      </c>
      <c r="L589" s="2" t="inlineStr">
        <is>
          <t>3.21</t>
        </is>
      </c>
    </row>
    <row r="590">
      <c r="A590" s="2" t="inlineStr">
        <is>
          <t>PRD-0589</t>
        </is>
      </c>
      <c r="B590" s="2" t="inlineStr">
        <is>
          <t>공시형</t>
        </is>
      </c>
      <c r="C590" s="2" t="inlineStr">
        <is>
          <t>예금</t>
        </is>
      </c>
      <c r="D590" s="2" t="inlineStr">
        <is>
          <t>정기예금</t>
        </is>
      </c>
      <c r="E590" s="2" t="inlineStr">
        <is>
          <t>calc_interest</t>
        </is>
      </c>
      <c r="F590" s="2" t="inlineStr">
        <is>
          <t>5,000,000원을 전북은행 '내맘 쏙 정기예금'에 12개월 예치할 때 받는 세전 이자를 계산하면? (단리, 공시 기본금리 기준)</t>
        </is>
      </c>
      <c r="G590" s="2" t="inlineStr">
        <is>
          <t>numeric</t>
        </is>
      </c>
      <c r="H590" s="2" t="inlineStr">
        <is>
          <t>145000</t>
        </is>
      </c>
      <c r="I590" s="2" t="inlineStr">
        <is>
          <t>원</t>
        </is>
      </c>
      <c r="J590" s="2" t="inlineStr">
        <is>
          <t>금융감독원 금융상품통합비교공시 Open API (finlife.fss.or.kr), 202608</t>
        </is>
      </c>
      <c r="K590" s="2" t="inlineStr">
        <is>
          <t>전북은행:10-01-20-024-0063-0000:intr_rate(12개월,단리)</t>
        </is>
      </c>
      <c r="L590" s="2" t="inlineStr">
        <is>
          <t>2.9</t>
        </is>
      </c>
    </row>
    <row r="591">
      <c r="A591" s="2" t="inlineStr">
        <is>
          <t>PRD-0590</t>
        </is>
      </c>
      <c r="B591" s="2" t="inlineStr">
        <is>
          <t>공시형</t>
        </is>
      </c>
      <c r="C591" s="2" t="inlineStr">
        <is>
          <t>예금</t>
        </is>
      </c>
      <c r="D591" s="2" t="inlineStr">
        <is>
          <t>정기예금</t>
        </is>
      </c>
      <c r="E591" s="2" t="inlineStr">
        <is>
          <t>calc_interest</t>
        </is>
      </c>
      <c r="F591" s="2" t="inlineStr">
        <is>
          <t>제주은행 '제주Dream 정기예금 (개인/만기 지급식)'에 5,000,000원을 12개월 만기로 예치하면 만기 세전 이자는 얼마인가? (단리, 공시 기본금리 기준)</t>
        </is>
      </c>
      <c r="G591" s="2" t="inlineStr">
        <is>
          <t>numeric</t>
        </is>
      </c>
      <c r="H591" s="2" t="inlineStr">
        <is>
          <t>115000</t>
        </is>
      </c>
      <c r="I591" s="2" t="inlineStr">
        <is>
          <t>원</t>
        </is>
      </c>
      <c r="J591" s="2" t="inlineStr">
        <is>
          <t>금융감독원 금융상품통합비교공시 Open API (finlife.fss.or.kr), 202608</t>
        </is>
      </c>
      <c r="K591" s="2" t="inlineStr">
        <is>
          <t>제주은행:101272000006:intr_rate(12개월,단리)</t>
        </is>
      </c>
      <c r="L591" s="2" t="inlineStr">
        <is>
          <t>2.3</t>
        </is>
      </c>
    </row>
    <row r="592">
      <c r="A592" s="2" t="inlineStr">
        <is>
          <t>PRD-0591</t>
        </is>
      </c>
      <c r="B592" s="2" t="inlineStr">
        <is>
          <t>공시형</t>
        </is>
      </c>
      <c r="C592" s="2" t="inlineStr">
        <is>
          <t>예금</t>
        </is>
      </c>
      <c r="D592" s="2" t="inlineStr">
        <is>
          <t>정기예금</t>
        </is>
      </c>
      <c r="E592" s="2" t="inlineStr">
        <is>
          <t>calc_interest</t>
        </is>
      </c>
      <c r="F592" s="2" t="inlineStr">
        <is>
          <t>10,000,000원을 제주은행 'J정기예금 (만기지급식)'에 12개월 예치할 때 받는 세전 이자를 계산하면? (단리, 공시 기본금리 기준)</t>
        </is>
      </c>
      <c r="G592" s="2" t="inlineStr">
        <is>
          <t>numeric</t>
        </is>
      </c>
      <c r="H592" s="2" t="inlineStr">
        <is>
          <t>200000</t>
        </is>
      </c>
      <c r="I592" s="2" t="inlineStr">
        <is>
          <t>원</t>
        </is>
      </c>
      <c r="J592" s="2" t="inlineStr">
        <is>
          <t>금융감독원 금융상품통합비교공시 Open API (finlife.fss.or.kr), 202608</t>
        </is>
      </c>
      <c r="K592" s="2" t="inlineStr">
        <is>
          <t>제주은행:101272000057:intr_rate(12개월,단리)</t>
        </is>
      </c>
      <c r="L592" s="2" t="inlineStr">
        <is>
          <t>2</t>
        </is>
      </c>
    </row>
    <row r="593">
      <c r="A593" s="2" t="inlineStr">
        <is>
          <t>PRD-0592</t>
        </is>
      </c>
      <c r="B593" s="2" t="inlineStr">
        <is>
          <t>공시형</t>
        </is>
      </c>
      <c r="C593" s="2" t="inlineStr">
        <is>
          <t>예금</t>
        </is>
      </c>
      <c r="D593" s="2" t="inlineStr">
        <is>
          <t>정기예금</t>
        </is>
      </c>
      <c r="E593" s="2" t="inlineStr">
        <is>
          <t>calc_interest</t>
        </is>
      </c>
      <c r="F593" s="2" t="inlineStr">
        <is>
          <t>제주은행 '스마일드림 정기예금 (개인/선이자 지급식)'에 10,000,000원을 12개월 만기로 예치하면 만기 세전 이자는 얼마인가? (단리, 공시 기본금리 기준)</t>
        </is>
      </c>
      <c r="G593" s="2" t="inlineStr">
        <is>
          <t>numeric</t>
        </is>
      </c>
      <c r="H593" s="2" t="inlineStr">
        <is>
          <t>190000</t>
        </is>
      </c>
      <c r="I593" s="2" t="inlineStr">
        <is>
          <t>원</t>
        </is>
      </c>
      <c r="J593" s="2" t="inlineStr">
        <is>
          <t>금융감독원 금융상품통합비교공시 Open API (finlife.fss.or.kr), 202608</t>
        </is>
      </c>
      <c r="K593" s="2" t="inlineStr">
        <is>
          <t>제주은행:101272000058:intr_rate(12개월,단리)</t>
        </is>
      </c>
      <c r="L593" s="2" t="inlineStr">
        <is>
          <t>1.9</t>
        </is>
      </c>
    </row>
    <row r="594">
      <c r="A594" s="2" t="inlineStr">
        <is>
          <t>PRD-0593</t>
        </is>
      </c>
      <c r="B594" s="2" t="inlineStr">
        <is>
          <t>공시형</t>
        </is>
      </c>
      <c r="C594" s="2" t="inlineStr">
        <is>
          <t>예금</t>
        </is>
      </c>
      <c r="D594" s="2" t="inlineStr">
        <is>
          <t>정기예금</t>
        </is>
      </c>
      <c r="E594" s="2" t="inlineStr">
        <is>
          <t>calc_interest</t>
        </is>
      </c>
      <c r="F594" s="2" t="inlineStr">
        <is>
          <t>10,000,000원을 주식회사 카카오뱅크 '카카오뱅크 정기예금'에 12개월 예치할 때 받는 세전 이자를 계산하면? (단리, 공시 기본금리 기준)</t>
        </is>
      </c>
      <c r="G594" s="2" t="inlineStr">
        <is>
          <t>numeric</t>
        </is>
      </c>
      <c r="H594" s="2" t="inlineStr">
        <is>
          <t>360000</t>
        </is>
      </c>
      <c r="I594" s="2" t="inlineStr">
        <is>
          <t>원</t>
        </is>
      </c>
      <c r="J594" s="2" t="inlineStr">
        <is>
          <t>금융감독원 금융상품통합비교공시 Open API (finlife.fss.or.kr), 202608</t>
        </is>
      </c>
      <c r="K594" s="2" t="inlineStr">
        <is>
          <t>주식회사 카카오뱅크:10-01-20-388-0002:intr_rate(12개월,단리)</t>
        </is>
      </c>
      <c r="L594" s="2" t="inlineStr">
        <is>
          <t>3.6</t>
        </is>
      </c>
    </row>
    <row r="595">
      <c r="A595" s="2" t="inlineStr">
        <is>
          <t>PRD-0594</t>
        </is>
      </c>
      <c r="B595" s="2" t="inlineStr">
        <is>
          <t>공시형</t>
        </is>
      </c>
      <c r="C595" s="2" t="inlineStr">
        <is>
          <t>예금</t>
        </is>
      </c>
      <c r="D595" s="2" t="inlineStr">
        <is>
          <t>정기예금</t>
        </is>
      </c>
      <c r="E595" s="2" t="inlineStr">
        <is>
          <t>calc_interest</t>
        </is>
      </c>
      <c r="F595" s="2" t="inlineStr">
        <is>
          <t>30,000,000원을 주식회사 케이뱅크 '코드K 정기예금'에 12개월 예치할 때 받는 세전 이자를 계산하면? (단리, 공시 기본금리 기준)</t>
        </is>
      </c>
      <c r="G595" s="2" t="inlineStr">
        <is>
          <t>numeric</t>
        </is>
      </c>
      <c r="H595" s="2" t="inlineStr">
        <is>
          <t>1113000</t>
        </is>
      </c>
      <c r="I595" s="2" t="inlineStr">
        <is>
          <t>원</t>
        </is>
      </c>
      <c r="J595" s="2" t="inlineStr">
        <is>
          <t>금융감독원 금융상품통합비교공시 Open API (finlife.fss.or.kr), 202608</t>
        </is>
      </c>
      <c r="K595" s="2" t="inlineStr">
        <is>
          <t>주식회사 케이뱅크:01013000110000000001:intr_rate(12개월,단리)</t>
        </is>
      </c>
      <c r="L595" s="2" t="inlineStr">
        <is>
          <t>3.71</t>
        </is>
      </c>
    </row>
    <row r="596">
      <c r="A596" s="2" t="inlineStr">
        <is>
          <t>PRD-0595</t>
        </is>
      </c>
      <c r="B596" s="2" t="inlineStr">
        <is>
          <t>공시형</t>
        </is>
      </c>
      <c r="C596" s="2" t="inlineStr">
        <is>
          <t>예금</t>
        </is>
      </c>
      <c r="D596" s="2" t="inlineStr">
        <is>
          <t>정기예금</t>
        </is>
      </c>
      <c r="E596" s="2" t="inlineStr">
        <is>
          <t>calc_interest</t>
        </is>
      </c>
      <c r="F596" s="2" t="inlineStr">
        <is>
          <t>5,000,000원을 주식회사 하나은행 '하나의정기예금'에 12개월 예치할 때 받는 세전 이자를 계산하면? (단리, 공시 기본금리 기준)</t>
        </is>
      </c>
      <c r="G596" s="2" t="inlineStr">
        <is>
          <t>numeric</t>
        </is>
      </c>
      <c r="H596" s="2" t="inlineStr">
        <is>
          <t>115000</t>
        </is>
      </c>
      <c r="I596" s="2" t="inlineStr">
        <is>
          <t>원</t>
        </is>
      </c>
      <c r="J596" s="2" t="inlineStr">
        <is>
          <t>금융감독원 금융상품통합비교공시 Open API (finlife.fss.or.kr), 202608</t>
        </is>
      </c>
      <c r="K596" s="2" t="inlineStr">
        <is>
          <t>주식회사 하나은행:4:intr_rate(12개월,단리)</t>
        </is>
      </c>
      <c r="L596" s="2" t="inlineStr">
        <is>
          <t>2.3</t>
        </is>
      </c>
    </row>
    <row r="597">
      <c r="A597" s="2" t="inlineStr">
        <is>
          <t>PRD-0596</t>
        </is>
      </c>
      <c r="B597" s="2" t="inlineStr">
        <is>
          <t>공시형</t>
        </is>
      </c>
      <c r="C597" s="2" t="inlineStr">
        <is>
          <t>예금</t>
        </is>
      </c>
      <c r="D597" s="2" t="inlineStr">
        <is>
          <t>정기예금</t>
        </is>
      </c>
      <c r="E597" s="2" t="inlineStr">
        <is>
          <t>calc_interest</t>
        </is>
      </c>
      <c r="F597" s="2" t="inlineStr">
        <is>
          <t>10,000,000원을 중소기업은행 'IBK평생한가족통장(실세금리정기예금)'에 12개월 예치할 때 받는 세전 이자를 계산하면? (단리, 공시 기본금리 기준)</t>
        </is>
      </c>
      <c r="G597" s="2" t="inlineStr">
        <is>
          <t>numeric</t>
        </is>
      </c>
      <c r="H597" s="2" t="inlineStr">
        <is>
          <t>225000</t>
        </is>
      </c>
      <c r="I597" s="2" t="inlineStr">
        <is>
          <t>원</t>
        </is>
      </c>
      <c r="J597" s="2" t="inlineStr">
        <is>
          <t>금융감독원 금융상품통합비교공시 Open API (finlife.fss.or.kr), 202608</t>
        </is>
      </c>
      <c r="K597" s="2" t="inlineStr">
        <is>
          <t>중소기업은행:01211310121:intr_rate(12개월,단리)</t>
        </is>
      </c>
      <c r="L597" s="2" t="inlineStr">
        <is>
          <t>2.25</t>
        </is>
      </c>
    </row>
    <row r="598">
      <c r="A598" s="2" t="inlineStr">
        <is>
          <t>PRD-0597</t>
        </is>
      </c>
      <c r="B598" s="2" t="inlineStr">
        <is>
          <t>공시형</t>
        </is>
      </c>
      <c r="C598" s="2" t="inlineStr">
        <is>
          <t>예금</t>
        </is>
      </c>
      <c r="D598" s="2" t="inlineStr">
        <is>
          <t>정기예금</t>
        </is>
      </c>
      <c r="E598" s="2" t="inlineStr">
        <is>
          <t>calc_interest</t>
        </is>
      </c>
      <c r="F598" s="2" t="inlineStr">
        <is>
          <t>중소기업은행 'IBK더굴리기통장(실세금리정기예금)'의 공시 기본금리(단리)로 5,000,000원을 12개월 예치하면 세전 이자는 총 얼마인가?</t>
        </is>
      </c>
      <c r="G598" s="2" t="inlineStr">
        <is>
          <t>numeric</t>
        </is>
      </c>
      <c r="H598" s="2" t="inlineStr">
        <is>
          <t>157000</t>
        </is>
      </c>
      <c r="I598" s="2" t="inlineStr">
        <is>
          <t>원</t>
        </is>
      </c>
      <c r="J598" s="2" t="inlineStr">
        <is>
          <t>금융감독원 금융상품통합비교공시 Open API (finlife.fss.or.kr), 202608</t>
        </is>
      </c>
      <c r="K598" s="2" t="inlineStr">
        <is>
          <t>중소기업은행:01211310130:intr_rate(12개월,단리)</t>
        </is>
      </c>
      <c r="L598" s="2" t="inlineStr">
        <is>
          <t>3.14</t>
        </is>
      </c>
    </row>
    <row r="599">
      <c r="A599" s="2" t="inlineStr">
        <is>
          <t>PRD-0598</t>
        </is>
      </c>
      <c r="B599" s="2" t="inlineStr">
        <is>
          <t>공시형</t>
        </is>
      </c>
      <c r="C599" s="2" t="inlineStr">
        <is>
          <t>예금</t>
        </is>
      </c>
      <c r="D599" s="2" t="inlineStr">
        <is>
          <t>정기예금</t>
        </is>
      </c>
      <c r="E599" s="2" t="inlineStr">
        <is>
          <t>calc_interest</t>
        </is>
      </c>
      <c r="F599" s="2" t="inlineStr">
        <is>
          <t>중소기업은행 'IBK굴리기통장(정기예금)'의 공시 기본금리(단리)로 5,000,000원을 12개월 예치하면 세전 이자는 총 얼마인가?</t>
        </is>
      </c>
      <c r="G599" s="2" t="inlineStr">
        <is>
          <t>numeric</t>
        </is>
      </c>
      <c r="H599" s="2" t="inlineStr">
        <is>
          <t>164500</t>
        </is>
      </c>
      <c r="I599" s="2" t="inlineStr">
        <is>
          <t>원</t>
        </is>
      </c>
      <c r="J599" s="2" t="inlineStr">
        <is>
          <t>금융감독원 금융상품통합비교공시 Open API (finlife.fss.or.kr), 202608</t>
        </is>
      </c>
      <c r="K599" s="2" t="inlineStr">
        <is>
          <t>중소기업은행:01211310142:intr_rate(12개월,단리)</t>
        </is>
      </c>
      <c r="L599" s="2" t="inlineStr">
        <is>
          <t>3.29</t>
        </is>
      </c>
    </row>
    <row r="600">
      <c r="A600" s="2" t="inlineStr">
        <is>
          <t>PRD-0599</t>
        </is>
      </c>
      <c r="B600" s="2" t="inlineStr">
        <is>
          <t>공시형</t>
        </is>
      </c>
      <c r="C600" s="2" t="inlineStr">
        <is>
          <t>예금</t>
        </is>
      </c>
      <c r="D600" s="2" t="inlineStr">
        <is>
          <t>정기예금</t>
        </is>
      </c>
      <c r="E600" s="2" t="inlineStr">
        <is>
          <t>calc_interest</t>
        </is>
      </c>
      <c r="F600" s="2" t="inlineStr">
        <is>
          <t>토스뱅크 주식회사 '토스뱅크 먼저 이자 받는 정기예금'에 30,000,000원을 12개월 만기로 예치하면 만기 세전 이자는 얼마인가? (단리, 공시 기본금리 기준)</t>
        </is>
      </c>
      <c r="G600" s="2" t="inlineStr">
        <is>
          <t>numeric</t>
        </is>
      </c>
      <c r="H600" s="2" t="inlineStr">
        <is>
          <t>1080000</t>
        </is>
      </c>
      <c r="I600" s="2" t="inlineStr">
        <is>
          <t>원</t>
        </is>
      </c>
      <c r="J600" s="2" t="inlineStr">
        <is>
          <t>금융감독원 금융상품통합비교공시 Open API (finlife.fss.or.kr), 202608</t>
        </is>
      </c>
      <c r="K600" s="2" t="inlineStr">
        <is>
          <t>토스뱅크 주식회사:1001202000002:intr_rate(12개월,단리)</t>
        </is>
      </c>
      <c r="L600" s="2" t="inlineStr">
        <is>
          <t>3.6</t>
        </is>
      </c>
    </row>
    <row r="601">
      <c r="A601" s="2" t="inlineStr">
        <is>
          <t>PRD-0600</t>
        </is>
      </c>
      <c r="B601" s="2" t="inlineStr">
        <is>
          <t>공시형</t>
        </is>
      </c>
      <c r="C601" s="2" t="inlineStr">
        <is>
          <t>예금</t>
        </is>
      </c>
      <c r="D601" s="2" t="inlineStr">
        <is>
          <t>정기예금</t>
        </is>
      </c>
      <c r="E601" s="2" t="inlineStr">
        <is>
          <t>calc_interest</t>
        </is>
      </c>
      <c r="F601" s="2" t="inlineStr">
        <is>
          <t>한국산업은행 'KDB 정기예금'에 30,000,000원을 12개월 만기로 예치하면 만기 세전 이자는 얼마인가? (단리, 공시 기본금리 기준)</t>
        </is>
      </c>
      <c r="G601" s="2" t="inlineStr">
        <is>
          <t>numeric</t>
        </is>
      </c>
      <c r="H601" s="2" t="inlineStr">
        <is>
          <t>1005000</t>
        </is>
      </c>
      <c r="I601" s="2" t="inlineStr">
        <is>
          <t>원</t>
        </is>
      </c>
      <c r="J601" s="2" t="inlineStr">
        <is>
          <t>금융감독원 금융상품통합비교공시 Open API (finlife.fss.or.kr), 202608</t>
        </is>
      </c>
      <c r="K601" s="2" t="inlineStr">
        <is>
          <t>한국산업은행:06492:intr_rate(12개월,단리)</t>
        </is>
      </c>
      <c r="L601" s="2" t="inlineStr">
        <is>
          <t>3.35</t>
        </is>
      </c>
    </row>
    <row r="602">
      <c r="A602" s="2" t="inlineStr">
        <is>
          <t>PRD-0601</t>
        </is>
      </c>
      <c r="B602" s="2" t="inlineStr">
        <is>
          <t>공시형</t>
        </is>
      </c>
      <c r="C602" s="2" t="inlineStr">
        <is>
          <t>예금</t>
        </is>
      </c>
      <c r="D602" s="2" t="inlineStr">
        <is>
          <t>정기예금</t>
        </is>
      </c>
      <c r="E602" s="2" t="inlineStr">
        <is>
          <t>calc_interest</t>
        </is>
      </c>
      <c r="F602" s="2" t="inlineStr">
        <is>
          <t>한국스탠다드차타드은행 'e-그린세이브예금'의 공시 기본금리(단리)로 10,000,000원을 12개월 예치하면 세전 이자는 총 얼마인가?</t>
        </is>
      </c>
      <c r="G602" s="2" t="inlineStr">
        <is>
          <t>numeric</t>
        </is>
      </c>
      <c r="H602" s="2" t="inlineStr">
        <is>
          <t>365000</t>
        </is>
      </c>
      <c r="I602" s="2" t="inlineStr">
        <is>
          <t>원</t>
        </is>
      </c>
      <c r="J602" s="2" t="inlineStr">
        <is>
          <t>금융감독원 금융상품통합비교공시 Open API (finlife.fss.or.kr), 202608</t>
        </is>
      </c>
      <c r="K602" s="2" t="inlineStr">
        <is>
          <t>한국스탠다드차타드은행:00320342:intr_rate(12개월,단리)</t>
        </is>
      </c>
      <c r="L602" s="2" t="inlineStr">
        <is>
          <t>3.65</t>
        </is>
      </c>
    </row>
    <row r="603">
      <c r="A603" s="2" t="inlineStr">
        <is>
          <t>PRD-0602</t>
        </is>
      </c>
      <c r="B603" s="2" t="inlineStr">
        <is>
          <t>공시형</t>
        </is>
      </c>
      <c r="C603" s="2" t="inlineStr">
        <is>
          <t>예금</t>
        </is>
      </c>
      <c r="D603" s="2" t="inlineStr">
        <is>
          <t>정기예금</t>
        </is>
      </c>
      <c r="E603" s="2" t="inlineStr">
        <is>
          <t>calc_interest_after_tax</t>
        </is>
      </c>
      <c r="F603" s="2" t="inlineStr">
        <is>
          <t>10,000,000원을 경남은행 'BNK더조은정기예금'에 12개월 넣었을 때 세후 이자는? (단리, 이자소득세 15.4% 공제, 원 미만 반올림)</t>
        </is>
      </c>
      <c r="G603" s="2" t="inlineStr">
        <is>
          <t>numeric</t>
        </is>
      </c>
      <c r="H603" s="2" t="inlineStr">
        <is>
          <t>173430</t>
        </is>
      </c>
      <c r="I603" s="2" t="inlineStr">
        <is>
          <t>원</t>
        </is>
      </c>
      <c r="J603" s="2" t="inlineStr">
        <is>
          <t>금융감독원 금융상품통합비교공시 Open API (finlife.fss.or.kr), 202608</t>
        </is>
      </c>
      <c r="K603" s="2" t="inlineStr">
        <is>
          <t>경남은행:21001115:intr_rate(12개월,단리)</t>
        </is>
      </c>
      <c r="L603" s="2" t="inlineStr">
        <is>
          <t>2.05</t>
        </is>
      </c>
    </row>
    <row r="604">
      <c r="A604" s="2" t="inlineStr">
        <is>
          <t>PRD-0603</t>
        </is>
      </c>
      <c r="B604" s="2" t="inlineStr">
        <is>
          <t>공시형</t>
        </is>
      </c>
      <c r="C604" s="2" t="inlineStr">
        <is>
          <t>예금</t>
        </is>
      </c>
      <c r="D604" s="2" t="inlineStr">
        <is>
          <t>정기예금</t>
        </is>
      </c>
      <c r="E604" s="2" t="inlineStr">
        <is>
          <t>calc_interest_after_tax</t>
        </is>
      </c>
      <c r="F604" s="2" t="inlineStr">
        <is>
          <t>50,000,000원을 경남은행 'The든든예금(시즌2)'에 12개월 넣었을 때 세후 이자는? (단리, 이자소득세 15.4% 공제, 원 미만 반올림)</t>
        </is>
      </c>
      <c r="G604" s="2" t="inlineStr">
        <is>
          <t>numeric</t>
        </is>
      </c>
      <c r="H604" s="2" t="inlineStr">
        <is>
          <t>972900</t>
        </is>
      </c>
      <c r="I604" s="2" t="inlineStr">
        <is>
          <t>원</t>
        </is>
      </c>
      <c r="J604" s="2" t="inlineStr">
        <is>
          <t>금융감독원 금융상품통합비교공시 Open API (finlife.fss.or.kr), 202608</t>
        </is>
      </c>
      <c r="K604" s="2" t="inlineStr">
        <is>
          <t>경남은행:21001280:intr_rate(12개월,단리)</t>
        </is>
      </c>
      <c r="L604" s="2" t="inlineStr">
        <is>
          <t>2.3</t>
        </is>
      </c>
    </row>
    <row r="605">
      <c r="A605" s="2" t="inlineStr">
        <is>
          <t>PRD-0604</t>
        </is>
      </c>
      <c r="B605" s="2" t="inlineStr">
        <is>
          <t>공시형</t>
        </is>
      </c>
      <c r="C605" s="2" t="inlineStr">
        <is>
          <t>예금</t>
        </is>
      </c>
      <c r="D605" s="2" t="inlineStr">
        <is>
          <t>정기예금</t>
        </is>
      </c>
      <c r="E605" s="2" t="inlineStr">
        <is>
          <t>calc_interest_after_tax</t>
        </is>
      </c>
      <c r="F605" s="2" t="inlineStr">
        <is>
          <t>경남은행 'The파트너예금'에 10,000,000원을 12개월 예치하면(단리), 이자소득세 15.4%를 공제한 세후 이자는 얼마인가? (원 미만 반올림)</t>
        </is>
      </c>
      <c r="G605" s="2" t="inlineStr">
        <is>
          <t>numeric</t>
        </is>
      </c>
      <c r="H605" s="2" t="inlineStr">
        <is>
          <t>266490</t>
        </is>
      </c>
      <c r="I605" s="2" t="inlineStr">
        <is>
          <t>원</t>
        </is>
      </c>
      <c r="J605" s="2" t="inlineStr">
        <is>
          <t>금융감독원 금융상품통합비교공시 Open API (finlife.fss.or.kr), 202608</t>
        </is>
      </c>
      <c r="K605" s="2" t="inlineStr">
        <is>
          <t>경남은행:21001285:intr_rate(12개월,단리)</t>
        </is>
      </c>
      <c r="L605" s="2" t="inlineStr">
        <is>
          <t>3.15</t>
        </is>
      </c>
    </row>
    <row r="606">
      <c r="A606" s="2" t="inlineStr">
        <is>
          <t>PRD-0605</t>
        </is>
      </c>
      <c r="B606" s="2" t="inlineStr">
        <is>
          <t>공시형</t>
        </is>
      </c>
      <c r="C606" s="2" t="inlineStr">
        <is>
          <t>예금</t>
        </is>
      </c>
      <c r="D606" s="2" t="inlineStr">
        <is>
          <t>정기예금</t>
        </is>
      </c>
      <c r="E606" s="2" t="inlineStr">
        <is>
          <t>calc_interest_after_tax</t>
        </is>
      </c>
      <c r="F606" s="2" t="inlineStr">
        <is>
          <t>광주은행 '스마트모아Dream정기예금'에 10,000,000원을 12개월 예치하면(단리), 이자소득세 15.4%를 공제한 세후 이자는 얼마인가? (원 미만 반올림)</t>
        </is>
      </c>
      <c r="G606" s="2" t="inlineStr">
        <is>
          <t>numeric</t>
        </is>
      </c>
      <c r="H606" s="2" t="inlineStr">
        <is>
          <t>273258</t>
        </is>
      </c>
      <c r="I606" s="2" t="inlineStr">
        <is>
          <t>원</t>
        </is>
      </c>
      <c r="J606" s="2" t="inlineStr">
        <is>
          <t>금융감독원 금융상품통합비교공시 Open API (finlife.fss.or.kr), 202608</t>
        </is>
      </c>
      <c r="K606" s="2" t="inlineStr">
        <is>
          <t>광주은행:TD11300031000:intr_rate(12개월,단리)</t>
        </is>
      </c>
      <c r="L606" s="2" t="inlineStr">
        <is>
          <t>3.23</t>
        </is>
      </c>
    </row>
    <row r="607">
      <c r="A607" s="2" t="inlineStr">
        <is>
          <t>PRD-0606</t>
        </is>
      </c>
      <c r="B607" s="2" t="inlineStr">
        <is>
          <t>공시형</t>
        </is>
      </c>
      <c r="C607" s="2" t="inlineStr">
        <is>
          <t>예금</t>
        </is>
      </c>
      <c r="D607" s="2" t="inlineStr">
        <is>
          <t>정기예금</t>
        </is>
      </c>
      <c r="E607" s="2" t="inlineStr">
        <is>
          <t>calc_interest_after_tax</t>
        </is>
      </c>
      <c r="F607" s="2" t="inlineStr">
        <is>
          <t>광주은행 '굿스타트예금'의 공시 기본금리(단리) 기준, 10,000,000원 12개월 예치의 세후 수령 이자(이자소득세 15.4% 공제, 원 미만 반올림)는?</t>
        </is>
      </c>
      <c r="G607" s="2" t="inlineStr">
        <is>
          <t>numeric</t>
        </is>
      </c>
      <c r="H607" s="2" t="inlineStr">
        <is>
          <t>264798</t>
        </is>
      </c>
      <c r="I607" s="2" t="inlineStr">
        <is>
          <t>원</t>
        </is>
      </c>
      <c r="J607" s="2" t="inlineStr">
        <is>
          <t>금융감독원 금융상품통합비교공시 Open API (finlife.fss.or.kr), 202608</t>
        </is>
      </c>
      <c r="K607" s="2" t="inlineStr">
        <is>
          <t>광주은행:TD11300035000:intr_rate(12개월,단리)</t>
        </is>
      </c>
      <c r="L607" s="2" t="inlineStr">
        <is>
          <t>3.13</t>
        </is>
      </c>
    </row>
    <row r="608">
      <c r="A608" s="2" t="inlineStr">
        <is>
          <t>PRD-0607</t>
        </is>
      </c>
      <c r="B608" s="2" t="inlineStr">
        <is>
          <t>공시형</t>
        </is>
      </c>
      <c r="C608" s="2" t="inlineStr">
        <is>
          <t>예금</t>
        </is>
      </c>
      <c r="D608" s="2" t="inlineStr">
        <is>
          <t>정기예금</t>
        </is>
      </c>
      <c r="E608" s="2" t="inlineStr">
        <is>
          <t>calc_interest_after_tax</t>
        </is>
      </c>
      <c r="F608" s="2" t="inlineStr">
        <is>
          <t>50,000,000원을 광주은행 'The플러스예금'에 12개월 넣었을 때 세후 이자는? (단리, 이자소득세 15.4% 공제, 원 미만 반올림)</t>
        </is>
      </c>
      <c r="G608" s="2" t="inlineStr">
        <is>
          <t>numeric</t>
        </is>
      </c>
      <c r="H608" s="2" t="inlineStr">
        <is>
          <t>1142100</t>
        </is>
      </c>
      <c r="I608" s="2" t="inlineStr">
        <is>
          <t>원</t>
        </is>
      </c>
      <c r="J608" s="2" t="inlineStr">
        <is>
          <t>금융감독원 금융상품통합비교공시 Open API (finlife.fss.or.kr), 202608</t>
        </is>
      </c>
      <c r="K608" s="2" t="inlineStr">
        <is>
          <t>광주은행:TD11300036000:intr_rate(12개월,단리)</t>
        </is>
      </c>
      <c r="L608" s="2" t="inlineStr">
        <is>
          <t>2.7</t>
        </is>
      </c>
    </row>
    <row r="609">
      <c r="A609" s="2" t="inlineStr">
        <is>
          <t>PRD-0608</t>
        </is>
      </c>
      <c r="B609" s="2" t="inlineStr">
        <is>
          <t>공시형</t>
        </is>
      </c>
      <c r="C609" s="2" t="inlineStr">
        <is>
          <t>예금</t>
        </is>
      </c>
      <c r="D609" s="2" t="inlineStr">
        <is>
          <t>정기예금</t>
        </is>
      </c>
      <c r="E609" s="2" t="inlineStr">
        <is>
          <t>calc_interest_after_tax</t>
        </is>
      </c>
      <c r="F609" s="2" t="inlineStr">
        <is>
          <t>20,000,000원을 국민은행 'KB Star 정기예금'에 12개월 넣었을 때 세후 이자는? (단리, 이자소득세 15.4% 공제, 원 미만 반올림)</t>
        </is>
      </c>
      <c r="G609" s="2" t="inlineStr">
        <is>
          <t>numeric</t>
        </is>
      </c>
      <c r="H609" s="2" t="inlineStr">
        <is>
          <t>406080</t>
        </is>
      </c>
      <c r="I609" s="2" t="inlineStr">
        <is>
          <t>원</t>
        </is>
      </c>
      <c r="J609" s="2" t="inlineStr">
        <is>
          <t>금융감독원 금융상품통합비교공시 Open API (finlife.fss.or.kr), 202608</t>
        </is>
      </c>
      <c r="K609" s="2" t="inlineStr">
        <is>
          <t>국민은행:010300100335:intr_rate(12개월,단리)</t>
        </is>
      </c>
      <c r="L609" s="2" t="inlineStr">
        <is>
          <t>2.4</t>
        </is>
      </c>
    </row>
    <row r="610">
      <c r="A610" s="2" t="inlineStr">
        <is>
          <t>PRD-0609</t>
        </is>
      </c>
      <c r="B610" s="2" t="inlineStr">
        <is>
          <t>공시형</t>
        </is>
      </c>
      <c r="C610" s="2" t="inlineStr">
        <is>
          <t>예금</t>
        </is>
      </c>
      <c r="D610" s="2" t="inlineStr">
        <is>
          <t>정기예금</t>
        </is>
      </c>
      <c r="E610" s="2" t="inlineStr">
        <is>
          <t>calc_interest_after_tax</t>
        </is>
      </c>
      <c r="F610" s="2" t="inlineStr">
        <is>
          <t>농협은행주식회사 'NH왈츠회전예금 II'에 50,000,000원을 12개월 예치하면(단리), 이자소득세 15.4%를 공제한 세후 이자는 얼마인가? (원 미만 반올림)</t>
        </is>
      </c>
      <c r="G610" s="2" t="inlineStr">
        <is>
          <t>numeric</t>
        </is>
      </c>
      <c r="H610" s="2" t="inlineStr">
        <is>
          <t>1332450</t>
        </is>
      </c>
      <c r="I610" s="2" t="inlineStr">
        <is>
          <t>원</t>
        </is>
      </c>
      <c r="J610" s="2" t="inlineStr">
        <is>
          <t>금융감독원 금융상품통합비교공시 Open API (finlife.fss.or.kr), 202608</t>
        </is>
      </c>
      <c r="K610" s="2" t="inlineStr">
        <is>
          <t>농협은행주식회사:10-003-1225-0001:intr_rate(12개월,단리)</t>
        </is>
      </c>
      <c r="L610" s="2" t="inlineStr">
        <is>
          <t>3.15</t>
        </is>
      </c>
    </row>
    <row r="611">
      <c r="A611" s="2" t="inlineStr">
        <is>
          <t>PRD-0610</t>
        </is>
      </c>
      <c r="B611" s="2" t="inlineStr">
        <is>
          <t>공시형</t>
        </is>
      </c>
      <c r="C611" s="2" t="inlineStr">
        <is>
          <t>예금</t>
        </is>
      </c>
      <c r="D611" s="2" t="inlineStr">
        <is>
          <t>정기예금</t>
        </is>
      </c>
      <c r="E611" s="2" t="inlineStr">
        <is>
          <t>calc_interest_after_tax</t>
        </is>
      </c>
      <c r="F611" s="2" t="inlineStr">
        <is>
          <t>20,000,000원을 농협은행주식회사 'NH내가Green초록세상예금'에 12개월 넣었을 때 세후 이자는? (단리, 이자소득세 15.4% 공제, 원 미만 반올림)</t>
        </is>
      </c>
      <c r="G611" s="2" t="inlineStr">
        <is>
          <t>numeric</t>
        </is>
      </c>
      <c r="H611" s="2" t="inlineStr">
        <is>
          <t>414540</t>
        </is>
      </c>
      <c r="I611" s="2" t="inlineStr">
        <is>
          <t>원</t>
        </is>
      </c>
      <c r="J611" s="2" t="inlineStr">
        <is>
          <t>금융감독원 금융상품통합비교공시 Open API (finlife.fss.or.kr), 202608</t>
        </is>
      </c>
      <c r="K611" s="2" t="inlineStr">
        <is>
          <t>농협은행주식회사:10-003-1381-0001:intr_rate(12개월,단리)</t>
        </is>
      </c>
      <c r="L611" s="2" t="inlineStr">
        <is>
          <t>2.45</t>
        </is>
      </c>
    </row>
    <row r="612">
      <c r="A612" s="2" t="inlineStr">
        <is>
          <t>PRD-0611</t>
        </is>
      </c>
      <c r="B612" s="2" t="inlineStr">
        <is>
          <t>공시형</t>
        </is>
      </c>
      <c r="C612" s="2" t="inlineStr">
        <is>
          <t>예금</t>
        </is>
      </c>
      <c r="D612" s="2" t="inlineStr">
        <is>
          <t>정기예금</t>
        </is>
      </c>
      <c r="E612" s="2" t="inlineStr">
        <is>
          <t>calc_interest_after_tax</t>
        </is>
      </c>
      <c r="F612" s="2" t="inlineStr">
        <is>
          <t>10,000,000원을 농협은행주식회사 'NH올원e예금'에 12개월 넣었을 때 세후 이자는? (단리, 이자소득세 15.4% 공제, 원 미만 반올림)</t>
        </is>
      </c>
      <c r="G612" s="2" t="inlineStr">
        <is>
          <t>numeric</t>
        </is>
      </c>
      <c r="H612" s="2" t="inlineStr">
        <is>
          <t>274950</t>
        </is>
      </c>
      <c r="I612" s="2" t="inlineStr">
        <is>
          <t>원</t>
        </is>
      </c>
      <c r="J612" s="2" t="inlineStr">
        <is>
          <t>금융감독원 금융상품통합비교공시 Open API (finlife.fss.or.kr), 202608</t>
        </is>
      </c>
      <c r="K612" s="2" t="inlineStr">
        <is>
          <t>농협은행주식회사:10-003-1384-0001:intr_rate(12개월,단리)</t>
        </is>
      </c>
      <c r="L612" s="2" t="inlineStr">
        <is>
          <t>3.25</t>
        </is>
      </c>
    </row>
    <row r="613">
      <c r="A613" s="2" t="inlineStr">
        <is>
          <t>PRD-0612</t>
        </is>
      </c>
      <c r="B613" s="2" t="inlineStr">
        <is>
          <t>공시형</t>
        </is>
      </c>
      <c r="C613" s="2" t="inlineStr">
        <is>
          <t>예금</t>
        </is>
      </c>
      <c r="D613" s="2" t="inlineStr">
        <is>
          <t>정기예금</t>
        </is>
      </c>
      <c r="E613" s="2" t="inlineStr">
        <is>
          <t>calc_interest_after_tax</t>
        </is>
      </c>
      <c r="F613" s="2" t="inlineStr">
        <is>
          <t>농협은행주식회사 'NH고향사랑기부예금'의 공시 기본금리(단리) 기준, 50,000,000원 12개월 예치의 세후 수령 이자(이자소득세 15.4% 공제, 원 미만 반올림)는?</t>
        </is>
      </c>
      <c r="G613" s="2" t="inlineStr">
        <is>
          <t>numeric</t>
        </is>
      </c>
      <c r="H613" s="2" t="inlineStr">
        <is>
          <t>1036350</t>
        </is>
      </c>
      <c r="I613" s="2" t="inlineStr">
        <is>
          <t>원</t>
        </is>
      </c>
      <c r="J613" s="2" t="inlineStr">
        <is>
          <t>금융감독원 금융상품통합비교공시 Open API (finlife.fss.or.kr), 202608</t>
        </is>
      </c>
      <c r="K613" s="2" t="inlineStr">
        <is>
          <t>농협은행주식회사:10-003-1387-0001:intr_rate(12개월,단리)</t>
        </is>
      </c>
      <c r="L613" s="2" t="inlineStr">
        <is>
          <t>2.45</t>
        </is>
      </c>
    </row>
    <row r="614">
      <c r="A614" s="2" t="inlineStr">
        <is>
          <t>PRD-0613</t>
        </is>
      </c>
      <c r="B614" s="2" t="inlineStr">
        <is>
          <t>공시형</t>
        </is>
      </c>
      <c r="C614" s="2" t="inlineStr">
        <is>
          <t>예금</t>
        </is>
      </c>
      <c r="D614" s="2" t="inlineStr">
        <is>
          <t>정기예금</t>
        </is>
      </c>
      <c r="E614" s="2" t="inlineStr">
        <is>
          <t>calc_interest_after_tax</t>
        </is>
      </c>
      <c r="F614" s="2" t="inlineStr">
        <is>
          <t>부산은행 'LIVE정기예금'의 공시 기본금리(단리) 기준, 10,000,000원 12개월 예치의 세후 수령 이자(이자소득세 15.4% 공제, 원 미만 반올림)는?</t>
        </is>
      </c>
      <c r="G614" s="2" t="inlineStr">
        <is>
          <t>numeric</t>
        </is>
      </c>
      <c r="H614" s="2" t="inlineStr">
        <is>
          <t>190350</t>
        </is>
      </c>
      <c r="I614" s="2" t="inlineStr">
        <is>
          <t>원</t>
        </is>
      </c>
      <c r="J614" s="2" t="inlineStr">
        <is>
          <t>금융감독원 금융상품통합비교공시 Open API (finlife.fss.or.kr), 202608</t>
        </is>
      </c>
      <c r="K614" s="2" t="inlineStr">
        <is>
          <t>부산은행:01030500510002:intr_rate(12개월,단리)</t>
        </is>
      </c>
      <c r="L614" s="2" t="inlineStr">
        <is>
          <t>2.25</t>
        </is>
      </c>
    </row>
    <row r="615">
      <c r="A615" s="2" t="inlineStr">
        <is>
          <t>PRD-0614</t>
        </is>
      </c>
      <c r="B615" s="2" t="inlineStr">
        <is>
          <t>공시형</t>
        </is>
      </c>
      <c r="C615" s="2" t="inlineStr">
        <is>
          <t>예금</t>
        </is>
      </c>
      <c r="D615" s="2" t="inlineStr">
        <is>
          <t>정기예금</t>
        </is>
      </c>
      <c r="E615" s="2" t="inlineStr">
        <is>
          <t>calc_interest_after_tax</t>
        </is>
      </c>
      <c r="F615" s="2" t="inlineStr">
        <is>
          <t>부산은행 '더(The) 특판 정기예금'의 공시 기본금리(단리) 기준, 50,000,000원 12개월 예치의 세후 수령 이자(이자소득세 15.4% 공제, 원 미만 반올림)는?</t>
        </is>
      </c>
      <c r="G615" s="2" t="inlineStr">
        <is>
          <t>numeric</t>
        </is>
      </c>
      <c r="H615" s="2" t="inlineStr">
        <is>
          <t>930600</t>
        </is>
      </c>
      <c r="I615" s="2" t="inlineStr">
        <is>
          <t>원</t>
        </is>
      </c>
      <c r="J615" s="2" t="inlineStr">
        <is>
          <t>금융감독원 금융상품통합비교공시 Open API (finlife.fss.or.kr), 202608</t>
        </is>
      </c>
      <c r="K615" s="2" t="inlineStr">
        <is>
          <t>부산은행:01030500560002:intr_rate(12개월,단리)</t>
        </is>
      </c>
      <c r="L615" s="2" t="inlineStr">
        <is>
          <t>2.2</t>
        </is>
      </c>
    </row>
    <row r="616">
      <c r="A616" s="2" t="inlineStr">
        <is>
          <t>PRD-0615</t>
        </is>
      </c>
      <c r="B616" s="2" t="inlineStr">
        <is>
          <t>공시형</t>
        </is>
      </c>
      <c r="C616" s="2" t="inlineStr">
        <is>
          <t>예금</t>
        </is>
      </c>
      <c r="D616" s="2" t="inlineStr">
        <is>
          <t>정기예금</t>
        </is>
      </c>
      <c r="E616" s="2" t="inlineStr">
        <is>
          <t>calc_interest_after_tax</t>
        </is>
      </c>
      <c r="F616" s="2" t="inlineStr">
        <is>
          <t>부산은행 '더(The) 레벨업 정기예금'에 20,000,000원을 12개월 예치하면(단리), 이자소득세 15.4%를 공제한 세후 이자는 얼마인가? (원 미만 반올림)</t>
        </is>
      </c>
      <c r="G616" s="2" t="inlineStr">
        <is>
          <t>numeric</t>
        </is>
      </c>
      <c r="H616" s="2" t="inlineStr">
        <is>
          <t>448380</t>
        </is>
      </c>
      <c r="I616" s="2" t="inlineStr">
        <is>
          <t>원</t>
        </is>
      </c>
      <c r="J616" s="2" t="inlineStr">
        <is>
          <t>금융감독원 금융상품통합비교공시 Open API (finlife.fss.or.kr), 202608</t>
        </is>
      </c>
      <c r="K616" s="2" t="inlineStr">
        <is>
          <t>부산은행:01030500600002:intr_rate(12개월,단리)</t>
        </is>
      </c>
      <c r="L616" s="2" t="inlineStr">
        <is>
          <t>2.65</t>
        </is>
      </c>
    </row>
    <row r="617">
      <c r="A617" s="2" t="inlineStr">
        <is>
          <t>PRD-0616</t>
        </is>
      </c>
      <c r="B617" s="2" t="inlineStr">
        <is>
          <t>공시형</t>
        </is>
      </c>
      <c r="C617" s="2" t="inlineStr">
        <is>
          <t>예금</t>
        </is>
      </c>
      <c r="D617" s="2" t="inlineStr">
        <is>
          <t>정기예금</t>
        </is>
      </c>
      <c r="E617" s="2" t="inlineStr">
        <is>
          <t>calc_interest_after_tax</t>
        </is>
      </c>
      <c r="F617" s="2" t="inlineStr">
        <is>
          <t>50,000,000원을 수협은행 'Sh해양플라스틱Zero!예금 (만기일시지급식)'에 12개월 넣었을 때 세후 이자는? (단리, 이자소득세 15.4% 공제, 원 미만 반올림)</t>
        </is>
      </c>
      <c r="G617" s="2" t="inlineStr">
        <is>
          <t>numeric</t>
        </is>
      </c>
      <c r="H617" s="2" t="inlineStr">
        <is>
          <t>1378980</t>
        </is>
      </c>
      <c r="I617" s="2" t="inlineStr">
        <is>
          <t>원</t>
        </is>
      </c>
      <c r="J617" s="2" t="inlineStr">
        <is>
          <t>금융감독원 금융상품통합비교공시 Open API (finlife.fss.or.kr), 202608</t>
        </is>
      </c>
      <c r="K617" s="2" t="inlineStr">
        <is>
          <t>수협은행:10120114300011:intr_rate(12개월,단리)</t>
        </is>
      </c>
      <c r="L617" s="2" t="inlineStr">
        <is>
          <t>3.26</t>
        </is>
      </c>
    </row>
    <row r="618">
      <c r="A618" s="2" t="inlineStr">
        <is>
          <t>PRD-0617</t>
        </is>
      </c>
      <c r="B618" s="2" t="inlineStr">
        <is>
          <t>공시형</t>
        </is>
      </c>
      <c r="C618" s="2" t="inlineStr">
        <is>
          <t>예금</t>
        </is>
      </c>
      <c r="D618" s="2" t="inlineStr">
        <is>
          <t>정기예금</t>
        </is>
      </c>
      <c r="E618" s="2" t="inlineStr">
        <is>
          <t>calc_interest_after_tax</t>
        </is>
      </c>
      <c r="F618" s="2" t="inlineStr">
        <is>
          <t>수협은행 '헤이(Hey)정기예금'에 50,000,000원을 12개월 예치하면(단리), 이자소득세 15.4%를 공제한 세후 이자는 얼마인가? (원 미만 반올림)</t>
        </is>
      </c>
      <c r="G618" s="2" t="inlineStr">
        <is>
          <t>numeric</t>
        </is>
      </c>
      <c r="H618" s="2" t="inlineStr">
        <is>
          <t>1527030</t>
        </is>
      </c>
      <c r="I618" s="2" t="inlineStr">
        <is>
          <t>원</t>
        </is>
      </c>
      <c r="J618" s="2" t="inlineStr">
        <is>
          <t>금융감독원 금융상품통합비교공시 Open API (finlife.fss.or.kr), 202608</t>
        </is>
      </c>
      <c r="K618" s="2" t="inlineStr">
        <is>
          <t>수협은행:10120114700011:intr_rate(12개월,단리)</t>
        </is>
      </c>
      <c r="L618" s="2" t="inlineStr">
        <is>
          <t>3.61</t>
        </is>
      </c>
    </row>
    <row r="619">
      <c r="A619" s="2" t="inlineStr">
        <is>
          <t>PRD-0618</t>
        </is>
      </c>
      <c r="B619" s="2" t="inlineStr">
        <is>
          <t>공시형</t>
        </is>
      </c>
      <c r="C619" s="2" t="inlineStr">
        <is>
          <t>예금</t>
        </is>
      </c>
      <c r="D619" s="2" t="inlineStr">
        <is>
          <t>정기예금</t>
        </is>
      </c>
      <c r="E619" s="2" t="inlineStr">
        <is>
          <t>calc_interest_after_tax</t>
        </is>
      </c>
      <c r="F619" s="2" t="inlineStr">
        <is>
          <t>20,000,000원을 수협은행 'Sh첫만남우대예금'에 12개월 넣었을 때 세후 이자는? (단리, 이자소득세 15.4% 공제, 원 미만 반올림)</t>
        </is>
      </c>
      <c r="G619" s="2" t="inlineStr">
        <is>
          <t>numeric</t>
        </is>
      </c>
      <c r="H619" s="2" t="inlineStr">
        <is>
          <t>456840</t>
        </is>
      </c>
      <c r="I619" s="2" t="inlineStr">
        <is>
          <t>원</t>
        </is>
      </c>
      <c r="J619" s="2" t="inlineStr">
        <is>
          <t>금융감독원 금융상품통합비교공시 Open API (finlife.fss.or.kr), 202608</t>
        </is>
      </c>
      <c r="K619" s="2" t="inlineStr">
        <is>
          <t>수협은행:10120116100011:intr_rate(12개월,단리)</t>
        </is>
      </c>
      <c r="L619" s="2" t="inlineStr">
        <is>
          <t>2.7</t>
        </is>
      </c>
    </row>
    <row r="620">
      <c r="A620" s="2" t="inlineStr">
        <is>
          <t>PRD-0619</t>
        </is>
      </c>
      <c r="B620" s="2" t="inlineStr">
        <is>
          <t>공시형</t>
        </is>
      </c>
      <c r="C620" s="2" t="inlineStr">
        <is>
          <t>예금</t>
        </is>
      </c>
      <c r="D620" s="2" t="inlineStr">
        <is>
          <t>정기예금</t>
        </is>
      </c>
      <c r="E620" s="2" t="inlineStr">
        <is>
          <t>calc_interest_after_tax</t>
        </is>
      </c>
      <c r="F620" s="2" t="inlineStr">
        <is>
          <t>신한은행 '신한My플러스 정기예금'의 공시 기본금리(단리) 기준, 20,000,000원 12개월 예치의 세후 수령 이자(이자소득세 15.4% 공제, 원 미만 반올림)는?</t>
        </is>
      </c>
      <c r="G620" s="2" t="inlineStr">
        <is>
          <t>numeric</t>
        </is>
      </c>
      <c r="H620" s="2" t="inlineStr">
        <is>
          <t>389160</t>
        </is>
      </c>
      <c r="I620" s="2" t="inlineStr">
        <is>
          <t>원</t>
        </is>
      </c>
      <c r="J620" s="2" t="inlineStr">
        <is>
          <t>금융감독원 금융상품통합비교공시 Open API (finlife.fss.or.kr), 202608</t>
        </is>
      </c>
      <c r="K620" s="2" t="inlineStr">
        <is>
          <t>신한은행:207-0134-16:intr_rate(12개월,단리)</t>
        </is>
      </c>
      <c r="L620" s="2" t="inlineStr">
        <is>
          <t>2.3</t>
        </is>
      </c>
    </row>
    <row r="621">
      <c r="A621" s="2" t="inlineStr">
        <is>
          <t>PRD-0620</t>
        </is>
      </c>
      <c r="B621" s="2" t="inlineStr">
        <is>
          <t>공시형</t>
        </is>
      </c>
      <c r="C621" s="2" t="inlineStr">
        <is>
          <t>예금</t>
        </is>
      </c>
      <c r="D621" s="2" t="inlineStr">
        <is>
          <t>정기예금</t>
        </is>
      </c>
      <c r="E621" s="2" t="inlineStr">
        <is>
          <t>calc_interest_after_tax</t>
        </is>
      </c>
      <c r="F621" s="2" t="inlineStr">
        <is>
          <t>신한은행 '쏠편한 정기예금'의 공시 기본금리(단리) 기준, 50,000,000원 12개월 예치의 세후 수령 이자(이자소득세 15.4% 공제, 원 미만 반올림)는?</t>
        </is>
      </c>
      <c r="G621" s="2" t="inlineStr">
        <is>
          <t>numeric</t>
        </is>
      </c>
      <c r="H621" s="2" t="inlineStr">
        <is>
          <t>972900</t>
        </is>
      </c>
      <c r="I621" s="2" t="inlineStr">
        <is>
          <t>원</t>
        </is>
      </c>
      <c r="J621" s="2" t="inlineStr">
        <is>
          <t>금융감독원 금융상품통합비교공시 Open API (finlife.fss.or.kr), 202608</t>
        </is>
      </c>
      <c r="K621" s="2" t="inlineStr">
        <is>
          <t>신한은행:207-0135-12:intr_rate(12개월,단리)</t>
        </is>
      </c>
      <c r="L621" s="2" t="inlineStr">
        <is>
          <t>2.3</t>
        </is>
      </c>
    </row>
    <row r="622">
      <c r="A622" s="2" t="inlineStr">
        <is>
          <t>PRD-0621</t>
        </is>
      </c>
      <c r="B622" s="2" t="inlineStr">
        <is>
          <t>공시형</t>
        </is>
      </c>
      <c r="C622" s="2" t="inlineStr">
        <is>
          <t>예금</t>
        </is>
      </c>
      <c r="D622" s="2" t="inlineStr">
        <is>
          <t>정기예금</t>
        </is>
      </c>
      <c r="E622" s="2" t="inlineStr">
        <is>
          <t>calc_interest_after_tax</t>
        </is>
      </c>
      <c r="F622" s="2" t="inlineStr">
        <is>
          <t>10,000,000원을 아이엠뱅크 'iM함께예금'에 12개월 넣었을 때 세후 이자는? (단리, 이자소득세 15.4% 공제, 원 미만 반올림)</t>
        </is>
      </c>
      <c r="G622" s="2" t="inlineStr">
        <is>
          <t>numeric</t>
        </is>
      </c>
      <c r="H622" s="2" t="inlineStr">
        <is>
          <t>262260</t>
        </is>
      </c>
      <c r="I622" s="2" t="inlineStr">
        <is>
          <t>원</t>
        </is>
      </c>
      <c r="J622" s="2" t="inlineStr">
        <is>
          <t>금융감독원 금융상품통합비교공시 Open API (finlife.fss.or.kr), 202608</t>
        </is>
      </c>
      <c r="K622" s="2" t="inlineStr">
        <is>
          <t>아이엠뱅크:10511008001166004:intr_rate(12개월,단리)</t>
        </is>
      </c>
      <c r="L622" s="2" t="inlineStr">
        <is>
          <t>3.1</t>
        </is>
      </c>
    </row>
    <row r="623">
      <c r="A623" s="2" t="inlineStr">
        <is>
          <t>PRD-0622</t>
        </is>
      </c>
      <c r="B623" s="2" t="inlineStr">
        <is>
          <t>공시형</t>
        </is>
      </c>
      <c r="C623" s="2" t="inlineStr">
        <is>
          <t>예금</t>
        </is>
      </c>
      <c r="D623" s="2" t="inlineStr">
        <is>
          <t>정기예금</t>
        </is>
      </c>
      <c r="E623" s="2" t="inlineStr">
        <is>
          <t>calc_interest_after_tax</t>
        </is>
      </c>
      <c r="F623" s="2" t="inlineStr">
        <is>
          <t>아이엠뱅크 'iM스마트예금'의 공시 기본금리(단리) 기준, 20,000,000원 12개월 예치의 세후 수령 이자(이자소득세 15.4% 공제, 원 미만 반올림)는?</t>
        </is>
      </c>
      <c r="G623" s="2" t="inlineStr">
        <is>
          <t>numeric</t>
        </is>
      </c>
      <c r="H623" s="2" t="inlineStr">
        <is>
          <t>558360</t>
        </is>
      </c>
      <c r="I623" s="2" t="inlineStr">
        <is>
          <t>원</t>
        </is>
      </c>
      <c r="J623" s="2" t="inlineStr">
        <is>
          <t>금융감독원 금융상품통합비교공시 Open API (finlife.fss.or.kr), 202608</t>
        </is>
      </c>
      <c r="K623" s="2" t="inlineStr">
        <is>
          <t>아이엠뱅크:10511008001278000:intr_rate(12개월,단리)</t>
        </is>
      </c>
      <c r="L623" s="2" t="inlineStr">
        <is>
          <t>3.3</t>
        </is>
      </c>
    </row>
    <row r="624">
      <c r="A624" s="2" t="inlineStr">
        <is>
          <t>PRD-0623</t>
        </is>
      </c>
      <c r="B624" s="2" t="inlineStr">
        <is>
          <t>공시형</t>
        </is>
      </c>
      <c r="C624" s="2" t="inlineStr">
        <is>
          <t>예금</t>
        </is>
      </c>
      <c r="D624" s="2" t="inlineStr">
        <is>
          <t>정기예금</t>
        </is>
      </c>
      <c r="E624" s="2" t="inlineStr">
        <is>
          <t>calc_interest_after_tax</t>
        </is>
      </c>
      <c r="F624" s="2" t="inlineStr">
        <is>
          <t>우리은행 'WON플러스예금'에 20,000,000원을 12개월 예치하면(단리), 이자소득세 15.4%를 공제한 세후 이자는 얼마인가? (원 미만 반올림)</t>
        </is>
      </c>
      <c r="G624" s="2" t="inlineStr">
        <is>
          <t>numeric</t>
        </is>
      </c>
      <c r="H624" s="2" t="inlineStr">
        <is>
          <t>541440</t>
        </is>
      </c>
      <c r="I624" s="2" t="inlineStr">
        <is>
          <t>원</t>
        </is>
      </c>
      <c r="J624" s="2" t="inlineStr">
        <is>
          <t>금융감독원 금융상품통합비교공시 Open API (finlife.fss.or.kr), 202608</t>
        </is>
      </c>
      <c r="K624" s="2" t="inlineStr">
        <is>
          <t>우리은행:WR0001B:intr_rate(12개월,단리)</t>
        </is>
      </c>
      <c r="L624" s="2" t="inlineStr">
        <is>
          <t>3.2</t>
        </is>
      </c>
    </row>
    <row r="625">
      <c r="A625" s="2" t="inlineStr">
        <is>
          <t>PRD-0624</t>
        </is>
      </c>
      <c r="B625" s="2" t="inlineStr">
        <is>
          <t>공시형</t>
        </is>
      </c>
      <c r="C625" s="2" t="inlineStr">
        <is>
          <t>예금</t>
        </is>
      </c>
      <c r="D625" s="2" t="inlineStr">
        <is>
          <t>정기예금</t>
        </is>
      </c>
      <c r="E625" s="2" t="inlineStr">
        <is>
          <t>calc_interest_after_tax</t>
        </is>
      </c>
      <c r="F625" s="2" t="inlineStr">
        <is>
          <t>전북은행 'JB 다이렉트예금통장 (만기일시지급식)'의 공시 기본금리(단리) 기준, 10,000,000원 12개월 예치의 세후 수령 이자(이자소득세 15.4% 공제, 원 미만 반올림)는?</t>
        </is>
      </c>
      <c r="G625" s="2" t="inlineStr">
        <is>
          <t>numeric</t>
        </is>
      </c>
      <c r="H625" s="2" t="inlineStr">
        <is>
          <t>318096</t>
        </is>
      </c>
      <c r="I625" s="2" t="inlineStr">
        <is>
          <t>원</t>
        </is>
      </c>
      <c r="J625" s="2" t="inlineStr">
        <is>
          <t>금융감독원 금융상품통합비교공시 Open API (finlife.fss.or.kr), 202608</t>
        </is>
      </c>
      <c r="K625" s="2" t="inlineStr">
        <is>
          <t>전북은행:10-01-20-024-0046-0000:intr_rate(12개월,단리)</t>
        </is>
      </c>
      <c r="L625" s="2" t="inlineStr">
        <is>
          <t>3.76</t>
        </is>
      </c>
    </row>
    <row r="626">
      <c r="A626" s="2" t="inlineStr">
        <is>
          <t>PRD-0625</t>
        </is>
      </c>
      <c r="B626" s="2" t="inlineStr">
        <is>
          <t>공시형</t>
        </is>
      </c>
      <c r="C626" s="2" t="inlineStr">
        <is>
          <t>예금</t>
        </is>
      </c>
      <c r="D626" s="2" t="inlineStr">
        <is>
          <t>정기예금</t>
        </is>
      </c>
      <c r="E626" s="2" t="inlineStr">
        <is>
          <t>calc_interest_after_tax</t>
        </is>
      </c>
      <c r="F626" s="2" t="inlineStr">
        <is>
          <t>10,000,000원을 전북은행 'JB 123 정기예금 (만기일시지급식)'에 12개월 넣었을 때 세후 이자는? (단리, 이자소득세 15.4% 공제, 원 미만 반올림)</t>
        </is>
      </c>
      <c r="G626" s="2" t="inlineStr">
        <is>
          <t>numeric</t>
        </is>
      </c>
      <c r="H626" s="2" t="inlineStr">
        <is>
          <t>271566</t>
        </is>
      </c>
      <c r="I626" s="2" t="inlineStr">
        <is>
          <t>원</t>
        </is>
      </c>
      <c r="J626" s="2" t="inlineStr">
        <is>
          <t>금융감독원 금융상품통합비교공시 Open API (finlife.fss.or.kr), 202608</t>
        </is>
      </c>
      <c r="K626" s="2" t="inlineStr">
        <is>
          <t>전북은행:10-01-20-024-0059-0000:intr_rate(12개월,단리)</t>
        </is>
      </c>
      <c r="L626" s="2" t="inlineStr">
        <is>
          <t>3.21</t>
        </is>
      </c>
    </row>
    <row r="627">
      <c r="A627" s="2" t="inlineStr">
        <is>
          <t>PRD-0626</t>
        </is>
      </c>
      <c r="B627" s="2" t="inlineStr">
        <is>
          <t>공시형</t>
        </is>
      </c>
      <c r="C627" s="2" t="inlineStr">
        <is>
          <t>예금</t>
        </is>
      </c>
      <c r="D627" s="2" t="inlineStr">
        <is>
          <t>정기예금</t>
        </is>
      </c>
      <c r="E627" s="2" t="inlineStr">
        <is>
          <t>calc_interest_after_tax</t>
        </is>
      </c>
      <c r="F627" s="2" t="inlineStr">
        <is>
          <t>전북은행 '내맘 쏙 정기예금'에 20,000,000원을 12개월 예치하면(단리), 이자소득세 15.4%를 공제한 세후 이자는 얼마인가? (원 미만 반올림)</t>
        </is>
      </c>
      <c r="G627" s="2" t="inlineStr">
        <is>
          <t>numeric</t>
        </is>
      </c>
      <c r="H627" s="2" t="inlineStr">
        <is>
          <t>490680</t>
        </is>
      </c>
      <c r="I627" s="2" t="inlineStr">
        <is>
          <t>원</t>
        </is>
      </c>
      <c r="J627" s="2" t="inlineStr">
        <is>
          <t>금융감독원 금융상품통합비교공시 Open API (finlife.fss.or.kr), 202608</t>
        </is>
      </c>
      <c r="K627" s="2" t="inlineStr">
        <is>
          <t>전북은행:10-01-20-024-0063-0000:intr_rate(12개월,단리)</t>
        </is>
      </c>
      <c r="L627" s="2" t="inlineStr">
        <is>
          <t>2.9</t>
        </is>
      </c>
    </row>
    <row r="628">
      <c r="A628" s="2" t="inlineStr">
        <is>
          <t>PRD-0627</t>
        </is>
      </c>
      <c r="B628" s="2" t="inlineStr">
        <is>
          <t>공시형</t>
        </is>
      </c>
      <c r="C628" s="2" t="inlineStr">
        <is>
          <t>예금</t>
        </is>
      </c>
      <c r="D628" s="2" t="inlineStr">
        <is>
          <t>정기예금</t>
        </is>
      </c>
      <c r="E628" s="2" t="inlineStr">
        <is>
          <t>calc_interest_after_tax</t>
        </is>
      </c>
      <c r="F628" s="2" t="inlineStr">
        <is>
          <t>20,000,000원을 제주은행 '제주Dream 정기예금 (개인/만기 지급식)'에 12개월 넣었을 때 세후 이자는? (단리, 이자소득세 15.4% 공제, 원 미만 반올림)</t>
        </is>
      </c>
      <c r="G628" s="2" t="inlineStr">
        <is>
          <t>numeric</t>
        </is>
      </c>
      <c r="H628" s="2" t="inlineStr">
        <is>
          <t>389160</t>
        </is>
      </c>
      <c r="I628" s="2" t="inlineStr">
        <is>
          <t>원</t>
        </is>
      </c>
      <c r="J628" s="2" t="inlineStr">
        <is>
          <t>금융감독원 금융상품통합비교공시 Open API (finlife.fss.or.kr), 202608</t>
        </is>
      </c>
      <c r="K628" s="2" t="inlineStr">
        <is>
          <t>제주은행:101272000006:intr_rate(12개월,단리)</t>
        </is>
      </c>
      <c r="L628" s="2" t="inlineStr">
        <is>
          <t>2.3</t>
        </is>
      </c>
    </row>
    <row r="629">
      <c r="A629" s="2" t="inlineStr">
        <is>
          <t>PRD-0628</t>
        </is>
      </c>
      <c r="B629" s="2" t="inlineStr">
        <is>
          <t>공시형</t>
        </is>
      </c>
      <c r="C629" s="2" t="inlineStr">
        <is>
          <t>예금</t>
        </is>
      </c>
      <c r="D629" s="2" t="inlineStr">
        <is>
          <t>정기예금</t>
        </is>
      </c>
      <c r="E629" s="2" t="inlineStr">
        <is>
          <t>calc_interest_after_tax</t>
        </is>
      </c>
      <c r="F629" s="2" t="inlineStr">
        <is>
          <t>제주은행 'J정기예금 (만기지급식)'의 공시 기본금리(단리) 기준, 20,000,000원 12개월 예치의 세후 수령 이자(이자소득세 15.4% 공제, 원 미만 반올림)는?</t>
        </is>
      </c>
      <c r="G629" s="2" t="inlineStr">
        <is>
          <t>numeric</t>
        </is>
      </c>
      <c r="H629" s="2" t="inlineStr">
        <is>
          <t>338400</t>
        </is>
      </c>
      <c r="I629" s="2" t="inlineStr">
        <is>
          <t>원</t>
        </is>
      </c>
      <c r="J629" s="2" t="inlineStr">
        <is>
          <t>금융감독원 금융상품통합비교공시 Open API (finlife.fss.or.kr), 202608</t>
        </is>
      </c>
      <c r="K629" s="2" t="inlineStr">
        <is>
          <t>제주은행:101272000057:intr_rate(12개월,단리)</t>
        </is>
      </c>
      <c r="L629" s="2" t="inlineStr">
        <is>
          <t>2</t>
        </is>
      </c>
    </row>
    <row r="630">
      <c r="A630" s="2" t="inlineStr">
        <is>
          <t>PRD-0629</t>
        </is>
      </c>
      <c r="B630" s="2" t="inlineStr">
        <is>
          <t>공시형</t>
        </is>
      </c>
      <c r="C630" s="2" t="inlineStr">
        <is>
          <t>예금</t>
        </is>
      </c>
      <c r="D630" s="2" t="inlineStr">
        <is>
          <t>정기예금</t>
        </is>
      </c>
      <c r="E630" s="2" t="inlineStr">
        <is>
          <t>calc_interest_after_tax</t>
        </is>
      </c>
      <c r="F630" s="2" t="inlineStr">
        <is>
          <t>제주은행 '스마일드림 정기예금 (개인/선이자 지급식)'의 공시 기본금리(단리) 기준, 20,000,000원 12개월 예치의 세후 수령 이자(이자소득세 15.4% 공제, 원 미만 반올림)는?</t>
        </is>
      </c>
      <c r="G630" s="2" t="inlineStr">
        <is>
          <t>numeric</t>
        </is>
      </c>
      <c r="H630" s="2" t="inlineStr">
        <is>
          <t>321480</t>
        </is>
      </c>
      <c r="I630" s="2" t="inlineStr">
        <is>
          <t>원</t>
        </is>
      </c>
      <c r="J630" s="2" t="inlineStr">
        <is>
          <t>금융감독원 금융상품통합비교공시 Open API (finlife.fss.or.kr), 202608</t>
        </is>
      </c>
      <c r="K630" s="2" t="inlineStr">
        <is>
          <t>제주은행:101272000058:intr_rate(12개월,단리)</t>
        </is>
      </c>
      <c r="L630" s="2" t="inlineStr">
        <is>
          <t>1.9</t>
        </is>
      </c>
    </row>
    <row r="631">
      <c r="A631" s="2" t="inlineStr">
        <is>
          <t>PRD-0630</t>
        </is>
      </c>
      <c r="B631" s="2" t="inlineStr">
        <is>
          <t>공시형</t>
        </is>
      </c>
      <c r="C631" s="2" t="inlineStr">
        <is>
          <t>예금</t>
        </is>
      </c>
      <c r="D631" s="2" t="inlineStr">
        <is>
          <t>정기예금</t>
        </is>
      </c>
      <c r="E631" s="2" t="inlineStr">
        <is>
          <t>calc_interest_after_tax</t>
        </is>
      </c>
      <c r="F631" s="2" t="inlineStr">
        <is>
          <t>10,000,000원을 주식회사 카카오뱅크 '카카오뱅크 정기예금'에 12개월 넣었을 때 세후 이자는? (단리, 이자소득세 15.4% 공제, 원 미만 반올림)</t>
        </is>
      </c>
      <c r="G631" s="2" t="inlineStr">
        <is>
          <t>numeric</t>
        </is>
      </c>
      <c r="H631" s="2" t="inlineStr">
        <is>
          <t>304560</t>
        </is>
      </c>
      <c r="I631" s="2" t="inlineStr">
        <is>
          <t>원</t>
        </is>
      </c>
      <c r="J631" s="2" t="inlineStr">
        <is>
          <t>금융감독원 금융상품통합비교공시 Open API (finlife.fss.or.kr), 202608</t>
        </is>
      </c>
      <c r="K631" s="2" t="inlineStr">
        <is>
          <t>주식회사 카카오뱅크:10-01-20-388-0002:intr_rate(12개월,단리)</t>
        </is>
      </c>
      <c r="L631" s="2" t="inlineStr">
        <is>
          <t>3.6</t>
        </is>
      </c>
    </row>
    <row r="632">
      <c r="A632" s="2" t="inlineStr">
        <is>
          <t>PRD-0631</t>
        </is>
      </c>
      <c r="B632" s="2" t="inlineStr">
        <is>
          <t>공시형</t>
        </is>
      </c>
      <c r="C632" s="2" t="inlineStr">
        <is>
          <t>예금</t>
        </is>
      </c>
      <c r="D632" s="2" t="inlineStr">
        <is>
          <t>정기예금</t>
        </is>
      </c>
      <c r="E632" s="2" t="inlineStr">
        <is>
          <t>calc_interest_after_tax</t>
        </is>
      </c>
      <c r="F632" s="2" t="inlineStr">
        <is>
          <t>주식회사 케이뱅크 '코드K 정기예금'에 10,000,000원을 12개월 예치하면(단리), 이자소득세 15.4%를 공제한 세후 이자는 얼마인가? (원 미만 반올림)</t>
        </is>
      </c>
      <c r="G632" s="2" t="inlineStr">
        <is>
          <t>numeric</t>
        </is>
      </c>
      <c r="H632" s="2" t="inlineStr">
        <is>
          <t>313866</t>
        </is>
      </c>
      <c r="I632" s="2" t="inlineStr">
        <is>
          <t>원</t>
        </is>
      </c>
      <c r="J632" s="2" t="inlineStr">
        <is>
          <t>금융감독원 금융상품통합비교공시 Open API (finlife.fss.or.kr), 202608</t>
        </is>
      </c>
      <c r="K632" s="2" t="inlineStr">
        <is>
          <t>주식회사 케이뱅크:01013000110000000001:intr_rate(12개월,단리)</t>
        </is>
      </c>
      <c r="L632" s="2" t="inlineStr">
        <is>
          <t>3.71</t>
        </is>
      </c>
    </row>
    <row r="633">
      <c r="A633" s="2" t="inlineStr">
        <is>
          <t>PRD-0632</t>
        </is>
      </c>
      <c r="B633" s="2" t="inlineStr">
        <is>
          <t>공시형</t>
        </is>
      </c>
      <c r="C633" s="2" t="inlineStr">
        <is>
          <t>예금</t>
        </is>
      </c>
      <c r="D633" s="2" t="inlineStr">
        <is>
          <t>정기예금</t>
        </is>
      </c>
      <c r="E633" s="2" t="inlineStr">
        <is>
          <t>calc_interest_after_tax</t>
        </is>
      </c>
      <c r="F633" s="2" t="inlineStr">
        <is>
          <t>주식회사 하나은행 '하나의정기예금'의 공시 기본금리(단리) 기준, 10,000,000원 12개월 예치의 세후 수령 이자(이자소득세 15.4% 공제, 원 미만 반올림)는?</t>
        </is>
      </c>
      <c r="G633" s="2" t="inlineStr">
        <is>
          <t>numeric</t>
        </is>
      </c>
      <c r="H633" s="2" t="inlineStr">
        <is>
          <t>194580</t>
        </is>
      </c>
      <c r="I633" s="2" t="inlineStr">
        <is>
          <t>원</t>
        </is>
      </c>
      <c r="J633" s="2" t="inlineStr">
        <is>
          <t>금융감독원 금융상품통합비교공시 Open API (finlife.fss.or.kr), 202608</t>
        </is>
      </c>
      <c r="K633" s="2" t="inlineStr">
        <is>
          <t>주식회사 하나은행:4:intr_rate(12개월,단리)</t>
        </is>
      </c>
      <c r="L633" s="2" t="inlineStr">
        <is>
          <t>2.3</t>
        </is>
      </c>
    </row>
    <row r="634">
      <c r="A634" s="2" t="inlineStr">
        <is>
          <t>PRD-0633</t>
        </is>
      </c>
      <c r="B634" s="2" t="inlineStr">
        <is>
          <t>공시형</t>
        </is>
      </c>
      <c r="C634" s="2" t="inlineStr">
        <is>
          <t>예금</t>
        </is>
      </c>
      <c r="D634" s="2" t="inlineStr">
        <is>
          <t>정기예금</t>
        </is>
      </c>
      <c r="E634" s="2" t="inlineStr">
        <is>
          <t>calc_interest_after_tax</t>
        </is>
      </c>
      <c r="F634" s="2" t="inlineStr">
        <is>
          <t>중소기업은행 'IBK평생한가족통장(실세금리정기예금)'의 공시 기본금리(단리) 기준, 50,000,000원 12개월 예치의 세후 수령 이자(이자소득세 15.4% 공제, 원 미만 반올림)는?</t>
        </is>
      </c>
      <c r="G634" s="2" t="inlineStr">
        <is>
          <t>numeric</t>
        </is>
      </c>
      <c r="H634" s="2" t="inlineStr">
        <is>
          <t>951750</t>
        </is>
      </c>
      <c r="I634" s="2" t="inlineStr">
        <is>
          <t>원</t>
        </is>
      </c>
      <c r="J634" s="2" t="inlineStr">
        <is>
          <t>금융감독원 금융상품통합비교공시 Open API (finlife.fss.or.kr), 202608</t>
        </is>
      </c>
      <c r="K634" s="2" t="inlineStr">
        <is>
          <t>중소기업은행:01211310121:intr_rate(12개월,단리)</t>
        </is>
      </c>
      <c r="L634" s="2" t="inlineStr">
        <is>
          <t>2.25</t>
        </is>
      </c>
    </row>
    <row r="635">
      <c r="A635" s="2" t="inlineStr">
        <is>
          <t>PRD-0634</t>
        </is>
      </c>
      <c r="B635" s="2" t="inlineStr">
        <is>
          <t>공시형</t>
        </is>
      </c>
      <c r="C635" s="2" t="inlineStr">
        <is>
          <t>예금</t>
        </is>
      </c>
      <c r="D635" s="2" t="inlineStr">
        <is>
          <t>정기예금</t>
        </is>
      </c>
      <c r="E635" s="2" t="inlineStr">
        <is>
          <t>calc_interest_after_tax</t>
        </is>
      </c>
      <c r="F635" s="2" t="inlineStr">
        <is>
          <t>10,000,000원을 중소기업은행 'IBK더굴리기통장(실세금리정기예금)'에 12개월 넣었을 때 세후 이자는? (단리, 이자소득세 15.4% 공제, 원 미만 반올림)</t>
        </is>
      </c>
      <c r="G635" s="2" t="inlineStr">
        <is>
          <t>numeric</t>
        </is>
      </c>
      <c r="H635" s="2" t="inlineStr">
        <is>
          <t>265644</t>
        </is>
      </c>
      <c r="I635" s="2" t="inlineStr">
        <is>
          <t>원</t>
        </is>
      </c>
      <c r="J635" s="2" t="inlineStr">
        <is>
          <t>금융감독원 금융상품통합비교공시 Open API (finlife.fss.or.kr), 202608</t>
        </is>
      </c>
      <c r="K635" s="2" t="inlineStr">
        <is>
          <t>중소기업은행:01211310130:intr_rate(12개월,단리)</t>
        </is>
      </c>
      <c r="L635" s="2" t="inlineStr">
        <is>
          <t>3.14</t>
        </is>
      </c>
    </row>
    <row r="636">
      <c r="A636" s="2" t="inlineStr">
        <is>
          <t>PRD-0635</t>
        </is>
      </c>
      <c r="B636" s="2" t="inlineStr">
        <is>
          <t>공시형</t>
        </is>
      </c>
      <c r="C636" s="2" t="inlineStr">
        <is>
          <t>예금</t>
        </is>
      </c>
      <c r="D636" s="2" t="inlineStr">
        <is>
          <t>정기예금</t>
        </is>
      </c>
      <c r="E636" s="2" t="inlineStr">
        <is>
          <t>calc_interest_after_tax</t>
        </is>
      </c>
      <c r="F636" s="2" t="inlineStr">
        <is>
          <t>50,000,000원을 중소기업은행 'IBK굴리기통장(정기예금)'에 12개월 넣었을 때 세후 이자는? (단리, 이자소득세 15.4% 공제, 원 미만 반올림)</t>
        </is>
      </c>
      <c r="G636" s="2" t="inlineStr">
        <is>
          <t>numeric</t>
        </is>
      </c>
      <c r="H636" s="2" t="inlineStr">
        <is>
          <t>1391670</t>
        </is>
      </c>
      <c r="I636" s="2" t="inlineStr">
        <is>
          <t>원</t>
        </is>
      </c>
      <c r="J636" s="2" t="inlineStr">
        <is>
          <t>금융감독원 금융상품통합비교공시 Open API (finlife.fss.or.kr), 202608</t>
        </is>
      </c>
      <c r="K636" s="2" t="inlineStr">
        <is>
          <t>중소기업은행:01211310142:intr_rate(12개월,단리)</t>
        </is>
      </c>
      <c r="L636" s="2" t="inlineStr">
        <is>
          <t>3.29</t>
        </is>
      </c>
    </row>
    <row r="637">
      <c r="A637" s="2" t="inlineStr">
        <is>
          <t>PRD-0636</t>
        </is>
      </c>
      <c r="B637" s="2" t="inlineStr">
        <is>
          <t>공시형</t>
        </is>
      </c>
      <c r="C637" s="2" t="inlineStr">
        <is>
          <t>예금</t>
        </is>
      </c>
      <c r="D637" s="2" t="inlineStr">
        <is>
          <t>정기예금</t>
        </is>
      </c>
      <c r="E637" s="2" t="inlineStr">
        <is>
          <t>calc_interest_after_tax</t>
        </is>
      </c>
      <c r="F637" s="2" t="inlineStr">
        <is>
          <t>토스뱅크 주식회사 '토스뱅크 먼저 이자 받는 정기예금'의 공시 기본금리(단리) 기준, 50,000,000원 12개월 예치의 세후 수령 이자(이자소득세 15.4% 공제, 원 미만 반올림)는?</t>
        </is>
      </c>
      <c r="G637" s="2" t="inlineStr">
        <is>
          <t>numeric</t>
        </is>
      </c>
      <c r="H637" s="2" t="inlineStr">
        <is>
          <t>1522800</t>
        </is>
      </c>
      <c r="I637" s="2" t="inlineStr">
        <is>
          <t>원</t>
        </is>
      </c>
      <c r="J637" s="2" t="inlineStr">
        <is>
          <t>금융감독원 금융상품통합비교공시 Open API (finlife.fss.or.kr), 202608</t>
        </is>
      </c>
      <c r="K637" s="2" t="inlineStr">
        <is>
          <t>토스뱅크 주식회사:1001202000002:intr_rate(12개월,단리)</t>
        </is>
      </c>
      <c r="L637" s="2" t="inlineStr">
        <is>
          <t>3.6</t>
        </is>
      </c>
    </row>
    <row r="638">
      <c r="A638" s="2" t="inlineStr">
        <is>
          <t>PRD-0637</t>
        </is>
      </c>
      <c r="B638" s="2" t="inlineStr">
        <is>
          <t>공시형</t>
        </is>
      </c>
      <c r="C638" s="2" t="inlineStr">
        <is>
          <t>예금</t>
        </is>
      </c>
      <c r="D638" s="2" t="inlineStr">
        <is>
          <t>정기예금</t>
        </is>
      </c>
      <c r="E638" s="2" t="inlineStr">
        <is>
          <t>calc_interest_after_tax</t>
        </is>
      </c>
      <c r="F638" s="2" t="inlineStr">
        <is>
          <t>한국산업은행 'KDB 정기예금'에 50,000,000원을 12개월 예치하면(단리), 이자소득세 15.4%를 공제한 세후 이자는 얼마인가? (원 미만 반올림)</t>
        </is>
      </c>
      <c r="G638" s="2" t="inlineStr">
        <is>
          <t>numeric</t>
        </is>
      </c>
      <c r="H638" s="2" t="inlineStr">
        <is>
          <t>1417050</t>
        </is>
      </c>
      <c r="I638" s="2" t="inlineStr">
        <is>
          <t>원</t>
        </is>
      </c>
      <c r="J638" s="2" t="inlineStr">
        <is>
          <t>금융감독원 금융상품통합비교공시 Open API (finlife.fss.or.kr), 202608</t>
        </is>
      </c>
      <c r="K638" s="2" t="inlineStr">
        <is>
          <t>한국산업은행:06492:intr_rate(12개월,단리)</t>
        </is>
      </c>
      <c r="L638" s="2" t="inlineStr">
        <is>
          <t>3.35</t>
        </is>
      </c>
    </row>
    <row r="639">
      <c r="A639" s="2" t="inlineStr">
        <is>
          <t>PRD-0638</t>
        </is>
      </c>
      <c r="B639" s="2" t="inlineStr">
        <is>
          <t>공시형</t>
        </is>
      </c>
      <c r="C639" s="2" t="inlineStr">
        <is>
          <t>예금</t>
        </is>
      </c>
      <c r="D639" s="2" t="inlineStr">
        <is>
          <t>정기예금</t>
        </is>
      </c>
      <c r="E639" s="2" t="inlineStr">
        <is>
          <t>calc_interest_after_tax</t>
        </is>
      </c>
      <c r="F639" s="2" t="inlineStr">
        <is>
          <t>한국스탠다드차타드은행 'e-그린세이브예금'의 공시 기본금리(단리) 기준, 20,000,000원 12개월 예치의 세후 수령 이자(이자소득세 15.4% 공제, 원 미만 반올림)는?</t>
        </is>
      </c>
      <c r="G639" s="2" t="inlineStr">
        <is>
          <t>numeric</t>
        </is>
      </c>
      <c r="H639" s="2" t="inlineStr">
        <is>
          <t>617580</t>
        </is>
      </c>
      <c r="I639" s="2" t="inlineStr">
        <is>
          <t>원</t>
        </is>
      </c>
      <c r="J639" s="2" t="inlineStr">
        <is>
          <t>금융감독원 금융상품통합비교공시 Open API (finlife.fss.or.kr), 202608</t>
        </is>
      </c>
      <c r="K639" s="2" t="inlineStr">
        <is>
          <t>한국스탠다드차타드은행:00320342:intr_rate(12개월,단리)</t>
        </is>
      </c>
      <c r="L639" s="2" t="inlineStr">
        <is>
          <t>3.65</t>
        </is>
      </c>
    </row>
    <row r="640">
      <c r="A640" s="2" t="inlineStr">
        <is>
          <t>PRD-0639</t>
        </is>
      </c>
      <c r="B640" s="2" t="inlineStr">
        <is>
          <t>공시형</t>
        </is>
      </c>
      <c r="C640" s="2" t="inlineStr">
        <is>
          <t>예금</t>
        </is>
      </c>
      <c r="D640" s="2" t="inlineStr">
        <is>
          <t>정기예금</t>
        </is>
      </c>
      <c r="E640" s="2" t="inlineStr">
        <is>
          <t>calc_interest_diff</t>
        </is>
      </c>
      <c r="F640" s="2" t="inlineStr">
        <is>
          <t>10,000,000원을 12개월 예치할 때 경남은행 'BNK더조은정기예금'과 경남은행 'The든든예금(시즌2)'의 세전 이자 차이를 계산하면? (단리, 공시 기본금리)</t>
        </is>
      </c>
      <c r="G640" s="2" t="inlineStr">
        <is>
          <t>numeric</t>
        </is>
      </c>
      <c r="H640" s="2" t="inlineStr">
        <is>
          <t>25000</t>
        </is>
      </c>
      <c r="I640" s="2" t="inlineStr">
        <is>
          <t>원</t>
        </is>
      </c>
      <c r="J640" s="2" t="inlineStr">
        <is>
          <t>금융감독원 금융상품통합비교공시 Open API (finlife.fss.or.kr), 202608</t>
        </is>
      </c>
      <c r="K640" s="2" t="inlineStr">
        <is>
          <t>경남은행:21001115,경남은행:21001280:intr_rate(12개월)</t>
        </is>
      </c>
      <c r="L640" s="2" t="inlineStr">
        <is>
          <t>BNK더조은정기예금=2.05; The든든예금(시즌2)=2.3</t>
        </is>
      </c>
    </row>
    <row r="641">
      <c r="A641" s="2" t="inlineStr">
        <is>
          <t>PRD-0640</t>
        </is>
      </c>
      <c r="B641" s="2" t="inlineStr">
        <is>
          <t>공시형</t>
        </is>
      </c>
      <c r="C641" s="2" t="inlineStr">
        <is>
          <t>예금</t>
        </is>
      </c>
      <c r="D641" s="2" t="inlineStr">
        <is>
          <t>정기예금</t>
        </is>
      </c>
      <c r="E641" s="2" t="inlineStr">
        <is>
          <t>calc_interest_diff</t>
        </is>
      </c>
      <c r="F641" s="2" t="inlineStr">
        <is>
          <t>10,000,000원을 12개월 예치할 때 경남은행 'The든든예금(시즌2)'과(와) 경남은행 'The파트너예금'의 세전 이자 차이를 계산하면? (단리, 공시 기본금리)</t>
        </is>
      </c>
      <c r="G641" s="2" t="inlineStr">
        <is>
          <t>numeric</t>
        </is>
      </c>
      <c r="H641" s="2" t="inlineStr">
        <is>
          <t>85000</t>
        </is>
      </c>
      <c r="I641" s="2" t="inlineStr">
        <is>
          <t>원</t>
        </is>
      </c>
      <c r="J641" s="2" t="inlineStr">
        <is>
          <t>금융감독원 금융상품통합비교공시 Open API (finlife.fss.or.kr), 202608</t>
        </is>
      </c>
      <c r="K641" s="2" t="inlineStr">
        <is>
          <t>경남은행:21001280,경남은행:21001285:intr_rate(12개월)</t>
        </is>
      </c>
      <c r="L641" s="2" t="inlineStr">
        <is>
          <t>The든든예금(시즌2)=2.3; The파트너예금=3.15</t>
        </is>
      </c>
    </row>
    <row r="642">
      <c r="A642" s="2" t="inlineStr">
        <is>
          <t>PRD-0641</t>
        </is>
      </c>
      <c r="B642" s="2" t="inlineStr">
        <is>
          <t>공시형</t>
        </is>
      </c>
      <c r="C642" s="2" t="inlineStr">
        <is>
          <t>예금</t>
        </is>
      </c>
      <c r="D642" s="2" t="inlineStr">
        <is>
          <t>정기예금</t>
        </is>
      </c>
      <c r="E642" s="2" t="inlineStr">
        <is>
          <t>calc_interest_diff</t>
        </is>
      </c>
      <c r="F642" s="2" t="inlineStr">
        <is>
          <t>10,000,000원을 12개월 예치할 때 경남은행 'The파트너예금'과 광주은행 '스마트모아Dream정기예금'의 세전 이자 차이를 계산하면? (단리, 공시 기본금리)</t>
        </is>
      </c>
      <c r="G642" s="2" t="inlineStr">
        <is>
          <t>numeric</t>
        </is>
      </c>
      <c r="H642" s="2" t="inlineStr">
        <is>
          <t>8000</t>
        </is>
      </c>
      <c r="I642" s="2" t="inlineStr">
        <is>
          <t>원</t>
        </is>
      </c>
      <c r="J642" s="2" t="inlineStr">
        <is>
          <t>금융감독원 금융상품통합비교공시 Open API (finlife.fss.or.kr), 202608</t>
        </is>
      </c>
      <c r="K642" s="2" t="inlineStr">
        <is>
          <t>경남은행:21001285,광주은행:TD11300031000:intr_rate(12개월)</t>
        </is>
      </c>
      <c r="L642" s="2" t="inlineStr">
        <is>
          <t>The파트너예금=3.15; 스마트모아Dream정기예금=3.23</t>
        </is>
      </c>
    </row>
    <row r="643">
      <c r="A643" s="2" t="inlineStr">
        <is>
          <t>PRD-0642</t>
        </is>
      </c>
      <c r="B643" s="2" t="inlineStr">
        <is>
          <t>공시형</t>
        </is>
      </c>
      <c r="C643" s="2" t="inlineStr">
        <is>
          <t>예금</t>
        </is>
      </c>
      <c r="D643" s="2" t="inlineStr">
        <is>
          <t>정기예금</t>
        </is>
      </c>
      <c r="E643" s="2" t="inlineStr">
        <is>
          <t>calc_interest_diff</t>
        </is>
      </c>
      <c r="F643" s="2" t="inlineStr">
        <is>
          <t>10,000,000원을 12개월 예치할 때 광주은행 '스마트모아Dream정기예금'과 광주은행 '굿스타트예금'의 세전 이자 차이를 계산하면? (단리, 공시 기본금리)</t>
        </is>
      </c>
      <c r="G643" s="2" t="inlineStr">
        <is>
          <t>numeric</t>
        </is>
      </c>
      <c r="H643" s="2" t="inlineStr">
        <is>
          <t>10000</t>
        </is>
      </c>
      <c r="I643" s="2" t="inlineStr">
        <is>
          <t>원</t>
        </is>
      </c>
      <c r="J643" s="2" t="inlineStr">
        <is>
          <t>금융감독원 금융상품통합비교공시 Open API (finlife.fss.or.kr), 202608</t>
        </is>
      </c>
      <c r="K643" s="2" t="inlineStr">
        <is>
          <t>광주은행:TD11300031000,광주은행:TD11300035000:intr_rate(12개월)</t>
        </is>
      </c>
      <c r="L643" s="2" t="inlineStr">
        <is>
          <t>스마트모아Dream정기예금=3.23; 굿스타트예금=3.13</t>
        </is>
      </c>
    </row>
    <row r="644">
      <c r="A644" s="2" t="inlineStr">
        <is>
          <t>PRD-0643</t>
        </is>
      </c>
      <c r="B644" s="2" t="inlineStr">
        <is>
          <t>공시형</t>
        </is>
      </c>
      <c r="C644" s="2" t="inlineStr">
        <is>
          <t>예금</t>
        </is>
      </c>
      <c r="D644" s="2" t="inlineStr">
        <is>
          <t>정기예금</t>
        </is>
      </c>
      <c r="E644" s="2" t="inlineStr">
        <is>
          <t>calc_interest_diff</t>
        </is>
      </c>
      <c r="F644" s="2" t="inlineStr">
        <is>
          <t>10,000,000원을 12개월 예치할 때 광주은행 '굿스타트예금'과 광주은행 'The플러스예금'의 세전 이자 차이를 계산하면? (단리, 공시 기본금리)</t>
        </is>
      </c>
      <c r="G644" s="2" t="inlineStr">
        <is>
          <t>numeric</t>
        </is>
      </c>
      <c r="H644" s="2" t="inlineStr">
        <is>
          <t>43000</t>
        </is>
      </c>
      <c r="I644" s="2" t="inlineStr">
        <is>
          <t>원</t>
        </is>
      </c>
      <c r="J644" s="2" t="inlineStr">
        <is>
          <t>금융감독원 금융상품통합비교공시 Open API (finlife.fss.or.kr), 202608</t>
        </is>
      </c>
      <c r="K644" s="2" t="inlineStr">
        <is>
          <t>광주은행:TD11300035000,광주은행:TD11300036000:intr_rate(12개월)</t>
        </is>
      </c>
      <c r="L644" s="2" t="inlineStr">
        <is>
          <t>굿스타트예금=3.13; The플러스예금=2.7</t>
        </is>
      </c>
    </row>
    <row r="645">
      <c r="A645" s="2" t="inlineStr">
        <is>
          <t>PRD-0644</t>
        </is>
      </c>
      <c r="B645" s="2" t="inlineStr">
        <is>
          <t>공시형</t>
        </is>
      </c>
      <c r="C645" s="2" t="inlineStr">
        <is>
          <t>예금</t>
        </is>
      </c>
      <c r="D645" s="2" t="inlineStr">
        <is>
          <t>정기예금</t>
        </is>
      </c>
      <c r="E645" s="2" t="inlineStr">
        <is>
          <t>calc_interest_diff</t>
        </is>
      </c>
      <c r="F645" s="2" t="inlineStr">
        <is>
          <t>10,000,000원을 12개월 예치할 때 광주은행 'The플러스예금'과 국민은행 'KB Star 정기예금'의 세전 이자 차이를 계산하면? (단리, 공시 기본금리)</t>
        </is>
      </c>
      <c r="G645" s="2" t="inlineStr">
        <is>
          <t>numeric</t>
        </is>
      </c>
      <c r="H645" s="2" t="inlineStr">
        <is>
          <t>30000</t>
        </is>
      </c>
      <c r="I645" s="2" t="inlineStr">
        <is>
          <t>원</t>
        </is>
      </c>
      <c r="J645" s="2" t="inlineStr">
        <is>
          <t>금융감독원 금융상품통합비교공시 Open API (finlife.fss.or.kr), 202608</t>
        </is>
      </c>
      <c r="K645" s="2" t="inlineStr">
        <is>
          <t>광주은행:TD11300036000,국민은행:010300100335:intr_rate(12개월)</t>
        </is>
      </c>
      <c r="L645" s="2" t="inlineStr">
        <is>
          <t>The플러스예금=2.7; KB Star 정기예금=2.4</t>
        </is>
      </c>
    </row>
    <row r="646">
      <c r="A646" s="2" t="inlineStr">
        <is>
          <t>PRD-0645</t>
        </is>
      </c>
      <c r="B646" s="2" t="inlineStr">
        <is>
          <t>공시형</t>
        </is>
      </c>
      <c r="C646" s="2" t="inlineStr">
        <is>
          <t>예금</t>
        </is>
      </c>
      <c r="D646" s="2" t="inlineStr">
        <is>
          <t>정기예금</t>
        </is>
      </c>
      <c r="E646" s="2" t="inlineStr">
        <is>
          <t>calc_interest_diff</t>
        </is>
      </c>
      <c r="F646" s="2" t="inlineStr">
        <is>
          <t>10,000,000원을 12개월 예치할 때 국민은행 'KB Star 정기예금'과 농협은행주식회사 'NH왈츠회전예금 II'의 세전 이자 차이를 계산하면? (단리, 공시 기본금리)</t>
        </is>
      </c>
      <c r="G646" s="2" t="inlineStr">
        <is>
          <t>numeric</t>
        </is>
      </c>
      <c r="H646" s="2" t="inlineStr">
        <is>
          <t>75000</t>
        </is>
      </c>
      <c r="I646" s="2" t="inlineStr">
        <is>
          <t>원</t>
        </is>
      </c>
      <c r="J646" s="2" t="inlineStr">
        <is>
          <t>금융감독원 금융상품통합비교공시 Open API (finlife.fss.or.kr), 202608</t>
        </is>
      </c>
      <c r="K646" s="2" t="inlineStr">
        <is>
          <t>국민은행:010300100335,농협은행주식회사:10-003-1225-0001:intr_rate(12개월)</t>
        </is>
      </c>
      <c r="L646" s="2" t="inlineStr">
        <is>
          <t>KB Star 정기예금=2.4; NH왈츠회전예금 II=3.15</t>
        </is>
      </c>
    </row>
    <row r="647">
      <c r="A647" s="2" t="inlineStr">
        <is>
          <t>PRD-0646</t>
        </is>
      </c>
      <c r="B647" s="2" t="inlineStr">
        <is>
          <t>공시형</t>
        </is>
      </c>
      <c r="C647" s="2" t="inlineStr">
        <is>
          <t>예금</t>
        </is>
      </c>
      <c r="D647" s="2" t="inlineStr">
        <is>
          <t>정기예금</t>
        </is>
      </c>
      <c r="E647" s="2" t="inlineStr">
        <is>
          <t>calc_interest_diff</t>
        </is>
      </c>
      <c r="F647" s="2" t="inlineStr">
        <is>
          <t>농협은행주식회사 'NH왈츠회전예금 II'과(와) 농협은행주식회사 'NH내가Green초록세상예금'에 각각 10,000,000원을 12개월 예치하면(단리, 공시 기본금리) 만기 세전 이자 차이는 얼마인가?</t>
        </is>
      </c>
      <c r="G647" s="2" t="inlineStr">
        <is>
          <t>numeric</t>
        </is>
      </c>
      <c r="H647" s="2" t="inlineStr">
        <is>
          <t>70000</t>
        </is>
      </c>
      <c r="I647" s="2" t="inlineStr">
        <is>
          <t>원</t>
        </is>
      </c>
      <c r="J647" s="2" t="inlineStr">
        <is>
          <t>금융감독원 금융상품통합비교공시 Open API (finlife.fss.or.kr), 202608</t>
        </is>
      </c>
      <c r="K647" s="2" t="inlineStr">
        <is>
          <t>농협은행주식회사:10-003-1225-0001,농협은행주식회사:10-003-1381-0001:intr_rate(12개월)</t>
        </is>
      </c>
      <c r="L647" s="2" t="inlineStr">
        <is>
          <t>NH왈츠회전예금 II=3.15; NH내가Green초록세상예금=2.45</t>
        </is>
      </c>
    </row>
    <row r="648">
      <c r="A648" s="2" t="inlineStr">
        <is>
          <t>PRD-0647</t>
        </is>
      </c>
      <c r="B648" s="2" t="inlineStr">
        <is>
          <t>공시형</t>
        </is>
      </c>
      <c r="C648" s="2" t="inlineStr">
        <is>
          <t>예금</t>
        </is>
      </c>
      <c r="D648" s="2" t="inlineStr">
        <is>
          <t>정기예금</t>
        </is>
      </c>
      <c r="E648" s="2" t="inlineStr">
        <is>
          <t>calc_interest_diff</t>
        </is>
      </c>
      <c r="F648" s="2" t="inlineStr">
        <is>
          <t>10,000,000원을 12개월 예치할 때 농협은행주식회사 'NH내가Green초록세상예금'과 농협은행주식회사 'NH올원e예금'의 세전 이자 차이를 계산하면? (단리, 공시 기본금리)</t>
        </is>
      </c>
      <c r="G648" s="2" t="inlineStr">
        <is>
          <t>numeric</t>
        </is>
      </c>
      <c r="H648" s="2" t="inlineStr">
        <is>
          <t>80000</t>
        </is>
      </c>
      <c r="I648" s="2" t="inlineStr">
        <is>
          <t>원</t>
        </is>
      </c>
      <c r="J648" s="2" t="inlineStr">
        <is>
          <t>금융감독원 금융상품통합비교공시 Open API (finlife.fss.or.kr), 202608</t>
        </is>
      </c>
      <c r="K648" s="2" t="inlineStr">
        <is>
          <t>농협은행주식회사:10-003-1381-0001,농협은행주식회사:10-003-1384-0001:intr_rate(12개월)</t>
        </is>
      </c>
      <c r="L648" s="2" t="inlineStr">
        <is>
          <t>NH내가Green초록세상예금=2.45; NH올원e예금=3.25</t>
        </is>
      </c>
    </row>
    <row r="649">
      <c r="A649" s="2" t="inlineStr">
        <is>
          <t>PRD-0648</t>
        </is>
      </c>
      <c r="B649" s="2" t="inlineStr">
        <is>
          <t>공시형</t>
        </is>
      </c>
      <c r="C649" s="2" t="inlineStr">
        <is>
          <t>예금</t>
        </is>
      </c>
      <c r="D649" s="2" t="inlineStr">
        <is>
          <t>정기예금</t>
        </is>
      </c>
      <c r="E649" s="2" t="inlineStr">
        <is>
          <t>calc_interest_diff</t>
        </is>
      </c>
      <c r="F649" s="2" t="inlineStr">
        <is>
          <t>농협은행주식회사 'NH올원e예금'과 농협은행주식회사 'NH고향사랑기부예금'에 각각 10,000,000원을 12개월 예치하면(단리, 공시 기본금리) 만기 세전 이자 차이는 얼마인가?</t>
        </is>
      </c>
      <c r="G649" s="2" t="inlineStr">
        <is>
          <t>numeric</t>
        </is>
      </c>
      <c r="H649" s="2" t="inlineStr">
        <is>
          <t>80000</t>
        </is>
      </c>
      <c r="I649" s="2" t="inlineStr">
        <is>
          <t>원</t>
        </is>
      </c>
      <c r="J649" s="2" t="inlineStr">
        <is>
          <t>금융감독원 금융상품통합비교공시 Open API (finlife.fss.or.kr), 202608</t>
        </is>
      </c>
      <c r="K649" s="2" t="inlineStr">
        <is>
          <t>농협은행주식회사:10-003-1384-0001,농협은행주식회사:10-003-1387-0001:intr_rate(12개월)</t>
        </is>
      </c>
      <c r="L649" s="2" t="inlineStr">
        <is>
          <t>NH올원e예금=3.25; NH고향사랑기부예금=2.45</t>
        </is>
      </c>
    </row>
    <row r="650">
      <c r="A650" s="2" t="inlineStr">
        <is>
          <t>PRD-0649</t>
        </is>
      </c>
      <c r="B650" s="2" t="inlineStr">
        <is>
          <t>공시형</t>
        </is>
      </c>
      <c r="C650" s="2" t="inlineStr">
        <is>
          <t>예금</t>
        </is>
      </c>
      <c r="D650" s="2" t="inlineStr">
        <is>
          <t>정기예금</t>
        </is>
      </c>
      <c r="E650" s="2" t="inlineStr">
        <is>
          <t>calc_interest_diff</t>
        </is>
      </c>
      <c r="F650" s="2" t="inlineStr">
        <is>
          <t>농협은행주식회사 'NH고향사랑기부예금'과 부산은행 'LIVE정기예금'에 각각 10,000,000원을 12개월 예치하면(단리, 공시 기본금리) 만기 세전 이자 차이는 얼마인가?</t>
        </is>
      </c>
      <c r="G650" s="2" t="inlineStr">
        <is>
          <t>numeric</t>
        </is>
      </c>
      <c r="H650" s="2" t="inlineStr">
        <is>
          <t>20000</t>
        </is>
      </c>
      <c r="I650" s="2" t="inlineStr">
        <is>
          <t>원</t>
        </is>
      </c>
      <c r="J650" s="2" t="inlineStr">
        <is>
          <t>금융감독원 금융상품통합비교공시 Open API (finlife.fss.or.kr), 202608</t>
        </is>
      </c>
      <c r="K650" s="2" t="inlineStr">
        <is>
          <t>농협은행주식회사:10-003-1387-0001,부산은행:01030500510002:intr_rate(12개월)</t>
        </is>
      </c>
      <c r="L650" s="2" t="inlineStr">
        <is>
          <t>NH고향사랑기부예금=2.45; LIVE정기예금=2.25</t>
        </is>
      </c>
    </row>
    <row r="651">
      <c r="A651" s="2" t="inlineStr">
        <is>
          <t>PRD-0650</t>
        </is>
      </c>
      <c r="B651" s="2" t="inlineStr">
        <is>
          <t>공시형</t>
        </is>
      </c>
      <c r="C651" s="2" t="inlineStr">
        <is>
          <t>예금</t>
        </is>
      </c>
      <c r="D651" s="2" t="inlineStr">
        <is>
          <t>정기예금</t>
        </is>
      </c>
      <c r="E651" s="2" t="inlineStr">
        <is>
          <t>calc_interest_diff</t>
        </is>
      </c>
      <c r="F651" s="2" t="inlineStr">
        <is>
          <t>부산은행 'LIVE정기예금'과 부산은행 '더(The) 특판 정기예금'에 각각 10,000,000원을 12개월 예치하면(단리, 공시 기본금리) 만기 세전 이자 차이는 얼마인가?</t>
        </is>
      </c>
      <c r="G651" s="2" t="inlineStr">
        <is>
          <t>numeric</t>
        </is>
      </c>
      <c r="H651" s="2" t="inlineStr">
        <is>
          <t>5000</t>
        </is>
      </c>
      <c r="I651" s="2" t="inlineStr">
        <is>
          <t>원</t>
        </is>
      </c>
      <c r="J651" s="2" t="inlineStr">
        <is>
          <t>금융감독원 금융상품통합비교공시 Open API (finlife.fss.or.kr), 202608</t>
        </is>
      </c>
      <c r="K651" s="2" t="inlineStr">
        <is>
          <t>부산은행:01030500510002,부산은행:01030500560002:intr_rate(12개월)</t>
        </is>
      </c>
      <c r="L651" s="2" t="inlineStr">
        <is>
          <t>LIVE정기예금=2.25; 더(The) 특판 정기예금=2.2</t>
        </is>
      </c>
    </row>
    <row r="652">
      <c r="A652" s="2" t="inlineStr">
        <is>
          <t>PRD-0651</t>
        </is>
      </c>
      <c r="B652" s="2" t="inlineStr">
        <is>
          <t>공시형</t>
        </is>
      </c>
      <c r="C652" s="2" t="inlineStr">
        <is>
          <t>예금</t>
        </is>
      </c>
      <c r="D652" s="2" t="inlineStr">
        <is>
          <t>정기예금</t>
        </is>
      </c>
      <c r="E652" s="2" t="inlineStr">
        <is>
          <t>calc_interest_diff</t>
        </is>
      </c>
      <c r="F652" s="2" t="inlineStr">
        <is>
          <t>10,000,000원을 12개월 예치할 때 부산은행 '더(The) 특판 정기예금'과 부산은행 '더(The) 레벨업 정기예금'의 세전 이자 차이를 계산하면? (단리, 공시 기본금리)</t>
        </is>
      </c>
      <c r="G652" s="2" t="inlineStr">
        <is>
          <t>numeric</t>
        </is>
      </c>
      <c r="H652" s="2" t="inlineStr">
        <is>
          <t>45000</t>
        </is>
      </c>
      <c r="I652" s="2" t="inlineStr">
        <is>
          <t>원</t>
        </is>
      </c>
      <c r="J652" s="2" t="inlineStr">
        <is>
          <t>금융감독원 금융상품통합비교공시 Open API (finlife.fss.or.kr), 202608</t>
        </is>
      </c>
      <c r="K652" s="2" t="inlineStr">
        <is>
          <t>부산은행:01030500560002,부산은행:01030500600002:intr_rate(12개월)</t>
        </is>
      </c>
      <c r="L652" s="2" t="inlineStr">
        <is>
          <t>더(The) 특판 정기예금=2.2; 더(The) 레벨업 정기예금=2.65</t>
        </is>
      </c>
    </row>
    <row r="653">
      <c r="A653" s="2" t="inlineStr">
        <is>
          <t>PRD-0652</t>
        </is>
      </c>
      <c r="B653" s="2" t="inlineStr">
        <is>
          <t>공시형</t>
        </is>
      </c>
      <c r="C653" s="2" t="inlineStr">
        <is>
          <t>예금</t>
        </is>
      </c>
      <c r="D653" s="2" t="inlineStr">
        <is>
          <t>정기예금</t>
        </is>
      </c>
      <c r="E653" s="2" t="inlineStr">
        <is>
          <t>calc_interest_diff</t>
        </is>
      </c>
      <c r="F653" s="2" t="inlineStr">
        <is>
          <t>부산은행 '더(The) 레벨업 정기예금'과 수협은행 'Sh해양플라스틱Zero!예금 (만기일시지급식)'에 각각 10,000,000원을 12개월 예치하면(단리, 공시 기본금리) 만기 세전 이자 차이는 얼마인가?</t>
        </is>
      </c>
      <c r="G653" s="2" t="inlineStr">
        <is>
          <t>numeric</t>
        </is>
      </c>
      <c r="H653" s="2" t="inlineStr">
        <is>
          <t>61000</t>
        </is>
      </c>
      <c r="I653" s="2" t="inlineStr">
        <is>
          <t>원</t>
        </is>
      </c>
      <c r="J653" s="2" t="inlineStr">
        <is>
          <t>금융감독원 금융상품통합비교공시 Open API (finlife.fss.or.kr), 202608</t>
        </is>
      </c>
      <c r="K653" s="2" t="inlineStr">
        <is>
          <t>부산은행:01030500600002,수협은행:10120114300011:intr_rate(12개월)</t>
        </is>
      </c>
      <c r="L653" s="2" t="inlineStr">
        <is>
          <t>더(The) 레벨업 정기예금=2.65; Sh해양플라스틱Zero!예금 (만기일시지급식)=3.26</t>
        </is>
      </c>
    </row>
    <row r="654">
      <c r="A654" s="2" t="inlineStr">
        <is>
          <t>PRD-0653</t>
        </is>
      </c>
      <c r="B654" s="2" t="inlineStr">
        <is>
          <t>공시형</t>
        </is>
      </c>
      <c r="C654" s="2" t="inlineStr">
        <is>
          <t>예금</t>
        </is>
      </c>
      <c r="D654" s="2" t="inlineStr">
        <is>
          <t>정기예금</t>
        </is>
      </c>
      <c r="E654" s="2" t="inlineStr">
        <is>
          <t>calc_interest_diff</t>
        </is>
      </c>
      <c r="F654" s="2" t="inlineStr">
        <is>
          <t>수협은행 'Sh해양플라스틱Zero!예금 (만기일시지급식)'과(와) 수협은행 '헤이(Hey)정기예금'에 각각 10,000,000원을 12개월 예치하면(단리, 공시 기본금리) 만기 세전 이자 차이는 얼마인가?</t>
        </is>
      </c>
      <c r="G654" s="2" t="inlineStr">
        <is>
          <t>numeric</t>
        </is>
      </c>
      <c r="H654" s="2" t="inlineStr">
        <is>
          <t>35000</t>
        </is>
      </c>
      <c r="I654" s="2" t="inlineStr">
        <is>
          <t>원</t>
        </is>
      </c>
      <c r="J654" s="2" t="inlineStr">
        <is>
          <t>금융감독원 금융상품통합비교공시 Open API (finlife.fss.or.kr), 202608</t>
        </is>
      </c>
      <c r="K654" s="2" t="inlineStr">
        <is>
          <t>수협은행:10120114300011,수협은행:10120114700011:intr_rate(12개월)</t>
        </is>
      </c>
      <c r="L654" s="2" t="inlineStr">
        <is>
          <t>Sh해양플라스틱Zero!예금 (만기일시지급식)=3.26; 헤이(Hey)정기예금=3.61</t>
        </is>
      </c>
    </row>
    <row r="655">
      <c r="A655" s="2" t="inlineStr">
        <is>
          <t>PRD-0654</t>
        </is>
      </c>
      <c r="B655" s="2" t="inlineStr">
        <is>
          <t>공시형</t>
        </is>
      </c>
      <c r="C655" s="2" t="inlineStr">
        <is>
          <t>예금</t>
        </is>
      </c>
      <c r="D655" s="2" t="inlineStr">
        <is>
          <t>정기예금</t>
        </is>
      </c>
      <c r="E655" s="2" t="inlineStr">
        <is>
          <t>calc_interest_diff</t>
        </is>
      </c>
      <c r="F655" s="2" t="inlineStr">
        <is>
          <t>10,000,000원을 12개월 예치할 때 수협은행 '헤이(Hey)정기예금'과 수협은행 'Sh첫만남우대예금'의 세전 이자 차이를 계산하면? (단리, 공시 기본금리)</t>
        </is>
      </c>
      <c r="G655" s="2" t="inlineStr">
        <is>
          <t>numeric</t>
        </is>
      </c>
      <c r="H655" s="2" t="inlineStr">
        <is>
          <t>91000</t>
        </is>
      </c>
      <c r="I655" s="2" t="inlineStr">
        <is>
          <t>원</t>
        </is>
      </c>
      <c r="J655" s="2" t="inlineStr">
        <is>
          <t>금융감독원 금융상품통합비교공시 Open API (finlife.fss.or.kr), 202608</t>
        </is>
      </c>
      <c r="K655" s="2" t="inlineStr">
        <is>
          <t>수협은행:10120114700011,수협은행:10120116100011:intr_rate(12개월)</t>
        </is>
      </c>
      <c r="L655" s="2" t="inlineStr">
        <is>
          <t>헤이(Hey)정기예금=3.61; Sh첫만남우대예금=2.7</t>
        </is>
      </c>
    </row>
    <row r="656">
      <c r="A656" s="2" t="inlineStr">
        <is>
          <t>PRD-0655</t>
        </is>
      </c>
      <c r="B656" s="2" t="inlineStr">
        <is>
          <t>공시형</t>
        </is>
      </c>
      <c r="C656" s="2" t="inlineStr">
        <is>
          <t>예금</t>
        </is>
      </c>
      <c r="D656" s="2" t="inlineStr">
        <is>
          <t>정기예금</t>
        </is>
      </c>
      <c r="E656" s="2" t="inlineStr">
        <is>
          <t>calc_interest_diff</t>
        </is>
      </c>
      <c r="F656" s="2" t="inlineStr">
        <is>
          <t>10,000,000원을 12개월 예치할 때 수협은행 'Sh첫만남우대예금'과 신한은행 '신한My플러스 정기예금'의 세전 이자 차이를 계산하면? (단리, 공시 기본금리)</t>
        </is>
      </c>
      <c r="G656" s="2" t="inlineStr">
        <is>
          <t>numeric</t>
        </is>
      </c>
      <c r="H656" s="2" t="inlineStr">
        <is>
          <t>40000</t>
        </is>
      </c>
      <c r="I656" s="2" t="inlineStr">
        <is>
          <t>원</t>
        </is>
      </c>
      <c r="J656" s="2" t="inlineStr">
        <is>
          <t>금융감독원 금융상품통합비교공시 Open API (finlife.fss.or.kr), 202608</t>
        </is>
      </c>
      <c r="K656" s="2" t="inlineStr">
        <is>
          <t>수협은행:10120116100011,신한은행:207-0134-16:intr_rate(12개월)</t>
        </is>
      </c>
      <c r="L656" s="2" t="inlineStr">
        <is>
          <t>Sh첫만남우대예금=2.7; 신한My플러스 정기예금=2.3</t>
        </is>
      </c>
    </row>
    <row r="657">
      <c r="A657" s="2" t="inlineStr">
        <is>
          <t>PRD-0656</t>
        </is>
      </c>
      <c r="B657" s="2" t="inlineStr">
        <is>
          <t>공시형</t>
        </is>
      </c>
      <c r="C657" s="2" t="inlineStr">
        <is>
          <t>예금</t>
        </is>
      </c>
      <c r="D657" s="2" t="inlineStr">
        <is>
          <t>정기예금</t>
        </is>
      </c>
      <c r="E657" s="2" t="inlineStr">
        <is>
          <t>calc_interest_diff</t>
        </is>
      </c>
      <c r="F657" s="2" t="inlineStr">
        <is>
          <t>신한은행 '쏠편한 정기예금'과 아이엠뱅크 'iM함께예금'에 각각 10,000,000원을 12개월 예치하면(단리, 공시 기본금리) 만기 세전 이자 차이는 얼마인가?</t>
        </is>
      </c>
      <c r="G657" s="2" t="inlineStr">
        <is>
          <t>numeric</t>
        </is>
      </c>
      <c r="H657" s="2" t="inlineStr">
        <is>
          <t>80000</t>
        </is>
      </c>
      <c r="I657" s="2" t="inlineStr">
        <is>
          <t>원</t>
        </is>
      </c>
      <c r="J657" s="2" t="inlineStr">
        <is>
          <t>금융감독원 금융상품통합비교공시 Open API (finlife.fss.or.kr), 202608</t>
        </is>
      </c>
      <c r="K657" s="2" t="inlineStr">
        <is>
          <t>신한은행:207-0135-12,아이엠뱅크:10511008001166004:intr_rate(12개월)</t>
        </is>
      </c>
      <c r="L657" s="2" t="inlineStr">
        <is>
          <t>쏠편한 정기예금=2.3; iM함께예금=3.1</t>
        </is>
      </c>
    </row>
    <row r="658">
      <c r="A658" s="2" t="inlineStr">
        <is>
          <t>PRD-0657</t>
        </is>
      </c>
      <c r="B658" s="2" t="inlineStr">
        <is>
          <t>공시형</t>
        </is>
      </c>
      <c r="C658" s="2" t="inlineStr">
        <is>
          <t>예금</t>
        </is>
      </c>
      <c r="D658" s="2" t="inlineStr">
        <is>
          <t>정기예금</t>
        </is>
      </c>
      <c r="E658" s="2" t="inlineStr">
        <is>
          <t>calc_interest_diff</t>
        </is>
      </c>
      <c r="F658" s="2" t="inlineStr">
        <is>
          <t>아이엠뱅크 'iM함께예금'과 아이엠뱅크 'iM스마트예금'에 각각 10,000,000원을 12개월 예치하면(단리, 공시 기본금리) 만기 세전 이자 차이는 얼마인가?</t>
        </is>
      </c>
      <c r="G658" s="2" t="inlineStr">
        <is>
          <t>numeric</t>
        </is>
      </c>
      <c r="H658" s="2" t="inlineStr">
        <is>
          <t>20000</t>
        </is>
      </c>
      <c r="I658" s="2" t="inlineStr">
        <is>
          <t>원</t>
        </is>
      </c>
      <c r="J658" s="2" t="inlineStr">
        <is>
          <t>금융감독원 금융상품통합비교공시 Open API (finlife.fss.or.kr), 202608</t>
        </is>
      </c>
      <c r="K658" s="2" t="inlineStr">
        <is>
          <t>아이엠뱅크:10511008001166004,아이엠뱅크:10511008001278000:intr_rate(12개월)</t>
        </is>
      </c>
      <c r="L658" s="2" t="inlineStr">
        <is>
          <t>iM함께예금=3.1; iM스마트예금=3.3</t>
        </is>
      </c>
    </row>
    <row r="659">
      <c r="A659" s="2" t="inlineStr">
        <is>
          <t>PRD-0658</t>
        </is>
      </c>
      <c r="B659" s="2" t="inlineStr">
        <is>
          <t>공시형</t>
        </is>
      </c>
      <c r="C659" s="2" t="inlineStr">
        <is>
          <t>예금</t>
        </is>
      </c>
      <c r="D659" s="2" t="inlineStr">
        <is>
          <t>정기예금</t>
        </is>
      </c>
      <c r="E659" s="2" t="inlineStr">
        <is>
          <t>calc_interest_diff</t>
        </is>
      </c>
      <c r="F659" s="2" t="inlineStr">
        <is>
          <t>아이엠뱅크 'iM스마트예금'과 우리은행 'WON플러스예금'에 각각 10,000,000원을 12개월 예치하면(단리, 공시 기본금리) 만기 세전 이자 차이는 얼마인가?</t>
        </is>
      </c>
      <c r="G659" s="2" t="inlineStr">
        <is>
          <t>numeric</t>
        </is>
      </c>
      <c r="H659" s="2" t="inlineStr">
        <is>
          <t>10000</t>
        </is>
      </c>
      <c r="I659" s="2" t="inlineStr">
        <is>
          <t>원</t>
        </is>
      </c>
      <c r="J659" s="2" t="inlineStr">
        <is>
          <t>금융감독원 금융상품통합비교공시 Open API (finlife.fss.or.kr), 202608</t>
        </is>
      </c>
      <c r="K659" s="2" t="inlineStr">
        <is>
          <t>아이엠뱅크:10511008001278000,우리은행:WR0001B:intr_rate(12개월)</t>
        </is>
      </c>
      <c r="L659" s="2" t="inlineStr">
        <is>
          <t>iM스마트예금=3.3; WON플러스예금=3.2</t>
        </is>
      </c>
    </row>
    <row r="660">
      <c r="A660" s="2" t="inlineStr">
        <is>
          <t>PRD-0659</t>
        </is>
      </c>
      <c r="B660" s="2" t="inlineStr">
        <is>
          <t>공시형</t>
        </is>
      </c>
      <c r="C660" s="2" t="inlineStr">
        <is>
          <t>예금</t>
        </is>
      </c>
      <c r="D660" s="2" t="inlineStr">
        <is>
          <t>정기예금</t>
        </is>
      </c>
      <c r="E660" s="2" t="inlineStr">
        <is>
          <t>calc_interest_diff</t>
        </is>
      </c>
      <c r="F660" s="2" t="inlineStr">
        <is>
          <t>10,000,000원을 12개월 예치할 때 우리은행 'WON플러스예금'과 전북은행 'JB 다이렉트예금통장 (만기일시지급식)'의 세전 이자 차이를 계산하면? (단리, 공시 기본금리)</t>
        </is>
      </c>
      <c r="G660" s="2" t="inlineStr">
        <is>
          <t>numeric</t>
        </is>
      </c>
      <c r="H660" s="2" t="inlineStr">
        <is>
          <t>56000</t>
        </is>
      </c>
      <c r="I660" s="2" t="inlineStr">
        <is>
          <t>원</t>
        </is>
      </c>
      <c r="J660" s="2" t="inlineStr">
        <is>
          <t>금융감독원 금융상품통합비교공시 Open API (finlife.fss.or.kr), 202608</t>
        </is>
      </c>
      <c r="K660" s="2" t="inlineStr">
        <is>
          <t>우리은행:WR0001B,전북은행:10-01-20-024-0046-0000:intr_rate(12개월)</t>
        </is>
      </c>
      <c r="L660" s="2" t="inlineStr">
        <is>
          <t>WON플러스예금=3.2; JB 다이렉트예금통장 (만기일시지급식)=3.76</t>
        </is>
      </c>
    </row>
    <row r="661">
      <c r="A661" s="2" t="inlineStr">
        <is>
          <t>PRD-0660</t>
        </is>
      </c>
      <c r="B661" s="2" t="inlineStr">
        <is>
          <t>공시형</t>
        </is>
      </c>
      <c r="C661" s="2" t="inlineStr">
        <is>
          <t>예금</t>
        </is>
      </c>
      <c r="D661" s="2" t="inlineStr">
        <is>
          <t>정기예금</t>
        </is>
      </c>
      <c r="E661" s="2" t="inlineStr">
        <is>
          <t>calc_interest_diff</t>
        </is>
      </c>
      <c r="F661" s="2" t="inlineStr">
        <is>
          <t>전북은행 'JB 다이렉트예금통장 (만기일시지급식)'과(와) 전북은행 'JB 123 정기예금 (만기일시지급식)'에 각각 10,000,000원을 12개월 예치하면(단리, 공시 기본금리) 만기 세전 이자 차이는 얼마인가?</t>
        </is>
      </c>
      <c r="G661" s="2" t="inlineStr">
        <is>
          <t>numeric</t>
        </is>
      </c>
      <c r="H661" s="2" t="inlineStr">
        <is>
          <t>55000</t>
        </is>
      </c>
      <c r="I661" s="2" t="inlineStr">
        <is>
          <t>원</t>
        </is>
      </c>
      <c r="J661" s="2" t="inlineStr">
        <is>
          <t>금융감독원 금융상품통합비교공시 Open API (finlife.fss.or.kr), 202608</t>
        </is>
      </c>
      <c r="K661" s="2" t="inlineStr">
        <is>
          <t>전북은행:10-01-20-024-0046-0000,전북은행:10-01-20-024-0059-0000:intr_rate(12개월)</t>
        </is>
      </c>
      <c r="L661" s="2" t="inlineStr">
        <is>
          <t>JB 다이렉트예금통장 (만기일시지급식)=3.76; JB 123 정기예금 (만기일시지급식)=3.21</t>
        </is>
      </c>
    </row>
    <row r="662">
      <c r="A662" s="2" t="inlineStr">
        <is>
          <t>PRD-0661</t>
        </is>
      </c>
      <c r="B662" s="2" t="inlineStr">
        <is>
          <t>공시형</t>
        </is>
      </c>
      <c r="C662" s="2" t="inlineStr">
        <is>
          <t>예금</t>
        </is>
      </c>
      <c r="D662" s="2" t="inlineStr">
        <is>
          <t>정기예금</t>
        </is>
      </c>
      <c r="E662" s="2" t="inlineStr">
        <is>
          <t>calc_interest_diff</t>
        </is>
      </c>
      <c r="F662" s="2" t="inlineStr">
        <is>
          <t>전북은행 'JB 123 정기예금 (만기일시지급식)'과(와) 전북은행 '내맘 쏙 정기예금'에 각각 10,000,000원을 12개월 예치하면(단리, 공시 기본금리) 만기 세전 이자 차이는 얼마인가?</t>
        </is>
      </c>
      <c r="G662" s="2" t="inlineStr">
        <is>
          <t>numeric</t>
        </is>
      </c>
      <c r="H662" s="2" t="inlineStr">
        <is>
          <t>31000</t>
        </is>
      </c>
      <c r="I662" s="2" t="inlineStr">
        <is>
          <t>원</t>
        </is>
      </c>
      <c r="J662" s="2" t="inlineStr">
        <is>
          <t>금융감독원 금융상품통합비교공시 Open API (finlife.fss.or.kr), 202608</t>
        </is>
      </c>
      <c r="K662" s="2" t="inlineStr">
        <is>
          <t>전북은행:10-01-20-024-0059-0000,전북은행:10-01-20-024-0063-0000:intr_rate(12개월)</t>
        </is>
      </c>
      <c r="L662" s="2" t="inlineStr">
        <is>
          <t>JB 123 정기예금 (만기일시지급식)=3.21; 내맘 쏙 정기예금=2.9</t>
        </is>
      </c>
    </row>
    <row r="663">
      <c r="A663" s="2" t="inlineStr">
        <is>
          <t>PRD-0662</t>
        </is>
      </c>
      <c r="B663" s="2" t="inlineStr">
        <is>
          <t>공시형</t>
        </is>
      </c>
      <c r="C663" s="2" t="inlineStr">
        <is>
          <t>예금</t>
        </is>
      </c>
      <c r="D663" s="2" t="inlineStr">
        <is>
          <t>정기예금</t>
        </is>
      </c>
      <c r="E663" s="2" t="inlineStr">
        <is>
          <t>calc_interest_diff</t>
        </is>
      </c>
      <c r="F663" s="2" t="inlineStr">
        <is>
          <t>전북은행 '내맘 쏙 정기예금'과 제주은행 '제주Dream 정기예금 (개인/만기 지급식)'에 각각 10,000,000원을 12개월 예치하면(단리, 공시 기본금리) 만기 세전 이자 차이는 얼마인가?</t>
        </is>
      </c>
      <c r="G663" s="2" t="inlineStr">
        <is>
          <t>numeric</t>
        </is>
      </c>
      <c r="H663" s="2" t="inlineStr">
        <is>
          <t>60000</t>
        </is>
      </c>
      <c r="I663" s="2" t="inlineStr">
        <is>
          <t>원</t>
        </is>
      </c>
      <c r="J663" s="2" t="inlineStr">
        <is>
          <t>금융감독원 금융상품통합비교공시 Open API (finlife.fss.or.kr), 202608</t>
        </is>
      </c>
      <c r="K663" s="2" t="inlineStr">
        <is>
          <t>전북은행:10-01-20-024-0063-0000,제주은행:101272000006:intr_rate(12개월)</t>
        </is>
      </c>
      <c r="L663" s="2" t="inlineStr">
        <is>
          <t>내맘 쏙 정기예금=2.9; 제주Dream 정기예금 (개인/만기 지급식)=2.3</t>
        </is>
      </c>
    </row>
    <row r="664">
      <c r="A664" s="2" t="inlineStr">
        <is>
          <t>PRD-0663</t>
        </is>
      </c>
      <c r="B664" s="2" t="inlineStr">
        <is>
          <t>공시형</t>
        </is>
      </c>
      <c r="C664" s="2" t="inlineStr">
        <is>
          <t>예금</t>
        </is>
      </c>
      <c r="D664" s="2" t="inlineStr">
        <is>
          <t>정기예금</t>
        </is>
      </c>
      <c r="E664" s="2" t="inlineStr">
        <is>
          <t>calc_interest_diff</t>
        </is>
      </c>
      <c r="F664" s="2" t="inlineStr">
        <is>
          <t>제주은행 '제주Dream 정기예금 (개인/만기 지급식)'과(와) 제주은행 'J정기예금 (만기지급식)'에 각각 10,000,000원을 12개월 예치하면(단리, 공시 기본금리) 만기 세전 이자 차이는 얼마인가?</t>
        </is>
      </c>
      <c r="G664" s="2" t="inlineStr">
        <is>
          <t>numeric</t>
        </is>
      </c>
      <c r="H664" s="2" t="inlineStr">
        <is>
          <t>30000</t>
        </is>
      </c>
      <c r="I664" s="2" t="inlineStr">
        <is>
          <t>원</t>
        </is>
      </c>
      <c r="J664" s="2" t="inlineStr">
        <is>
          <t>금융감독원 금융상품통합비교공시 Open API (finlife.fss.or.kr), 202608</t>
        </is>
      </c>
      <c r="K664" s="2" t="inlineStr">
        <is>
          <t>제주은행:101272000006,제주은행:101272000057:intr_rate(12개월)</t>
        </is>
      </c>
      <c r="L664" s="2" t="inlineStr">
        <is>
          <t>제주Dream 정기예금 (개인/만기 지급식)=2.3; J정기예금 (만기지급식)=2</t>
        </is>
      </c>
    </row>
    <row r="665">
      <c r="A665" s="2" t="inlineStr">
        <is>
          <t>PRD-0664</t>
        </is>
      </c>
      <c r="B665" s="2" t="inlineStr">
        <is>
          <t>공시형</t>
        </is>
      </c>
      <c r="C665" s="2" t="inlineStr">
        <is>
          <t>예금</t>
        </is>
      </c>
      <c r="D665" s="2" t="inlineStr">
        <is>
          <t>정기예금</t>
        </is>
      </c>
      <c r="E665" s="2" t="inlineStr">
        <is>
          <t>calc_interest_diff</t>
        </is>
      </c>
      <c r="F665" s="2" t="inlineStr">
        <is>
          <t>제주은행 'J정기예금 (만기지급식)'과(와) 제주은행 '스마일드림 정기예금 (개인/선이자 지급식)'에 각각 10,000,000원을 12개월 예치하면(단리, 공시 기본금리) 만기 세전 이자 차이는 얼마인가?</t>
        </is>
      </c>
      <c r="G665" s="2" t="inlineStr">
        <is>
          <t>numeric</t>
        </is>
      </c>
      <c r="H665" s="2" t="inlineStr">
        <is>
          <t>10000</t>
        </is>
      </c>
      <c r="I665" s="2" t="inlineStr">
        <is>
          <t>원</t>
        </is>
      </c>
      <c r="J665" s="2" t="inlineStr">
        <is>
          <t>금융감독원 금융상품통합비교공시 Open API (finlife.fss.or.kr), 202608</t>
        </is>
      </c>
      <c r="K665" s="2" t="inlineStr">
        <is>
          <t>제주은행:101272000057,제주은행:101272000058:intr_rate(12개월)</t>
        </is>
      </c>
      <c r="L665" s="2" t="inlineStr">
        <is>
          <t>J정기예금 (만기지급식)=2; 스마일드림 정기예금 (개인/선이자 지급식)=1.9</t>
        </is>
      </c>
    </row>
    <row r="666">
      <c r="A666" s="2" t="inlineStr">
        <is>
          <t>PRD-0665</t>
        </is>
      </c>
      <c r="B666" s="2" t="inlineStr">
        <is>
          <t>공시형</t>
        </is>
      </c>
      <c r="C666" s="2" t="inlineStr">
        <is>
          <t>예금</t>
        </is>
      </c>
      <c r="D666" s="2" t="inlineStr">
        <is>
          <t>정기예금</t>
        </is>
      </c>
      <c r="E666" s="2" t="inlineStr">
        <is>
          <t>calc_interest_diff</t>
        </is>
      </c>
      <c r="F666" s="2" t="inlineStr">
        <is>
          <t>10,000,000원을 12개월 예치할 때 제주은행 '스마일드림 정기예금 (개인/선이자 지급식)'과(와) 주식회사 카카오뱅크 '카카오뱅크 정기예금'의 세전 이자 차이를 계산하면? (단리, 공시 기본금리)</t>
        </is>
      </c>
      <c r="G666" s="2" t="inlineStr">
        <is>
          <t>numeric</t>
        </is>
      </c>
      <c r="H666" s="2" t="inlineStr">
        <is>
          <t>170000</t>
        </is>
      </c>
      <c r="I666" s="2" t="inlineStr">
        <is>
          <t>원</t>
        </is>
      </c>
      <c r="J666" s="2" t="inlineStr">
        <is>
          <t>금융감독원 금융상품통합비교공시 Open API (finlife.fss.or.kr), 202608</t>
        </is>
      </c>
      <c r="K666" s="2" t="inlineStr">
        <is>
          <t>제주은행:101272000058,주식회사 카카오뱅크:10-01-20-388-0002:intr_rate(12개월)</t>
        </is>
      </c>
      <c r="L666" s="2" t="inlineStr">
        <is>
          <t>스마일드림 정기예금 (개인/선이자 지급식)=1.9; 카카오뱅크 정기예금=3.6</t>
        </is>
      </c>
    </row>
    <row r="667">
      <c r="A667" s="2" t="inlineStr">
        <is>
          <t>PRD-0666</t>
        </is>
      </c>
      <c r="B667" s="2" t="inlineStr">
        <is>
          <t>공시형</t>
        </is>
      </c>
      <c r="C667" s="2" t="inlineStr">
        <is>
          <t>예금</t>
        </is>
      </c>
      <c r="D667" s="2" t="inlineStr">
        <is>
          <t>정기예금</t>
        </is>
      </c>
      <c r="E667" s="2" t="inlineStr">
        <is>
          <t>calc_interest_diff</t>
        </is>
      </c>
      <c r="F667" s="2" t="inlineStr">
        <is>
          <t>10,000,000원을 12개월 예치할 때 주식회사 카카오뱅크 '카카오뱅크 정기예금'과 주식회사 케이뱅크 '코드K 정기예금'의 세전 이자 차이를 계산하면? (단리, 공시 기본금리)</t>
        </is>
      </c>
      <c r="G667" s="2" t="inlineStr">
        <is>
          <t>numeric</t>
        </is>
      </c>
      <c r="H667" s="2" t="inlineStr">
        <is>
          <t>11000</t>
        </is>
      </c>
      <c r="I667" s="2" t="inlineStr">
        <is>
          <t>원</t>
        </is>
      </c>
      <c r="J667" s="2" t="inlineStr">
        <is>
          <t>금융감독원 금융상품통합비교공시 Open API (finlife.fss.or.kr), 202608</t>
        </is>
      </c>
      <c r="K667" s="2" t="inlineStr">
        <is>
          <t>주식회사 카카오뱅크:10-01-20-388-0002,주식회사 케이뱅크:01013000110000000001:intr_rate(12개월)</t>
        </is>
      </c>
      <c r="L667" s="2" t="inlineStr">
        <is>
          <t>카카오뱅크 정기예금=3.6; 코드K 정기예금=3.71</t>
        </is>
      </c>
    </row>
    <row r="668">
      <c r="A668" s="2" t="inlineStr">
        <is>
          <t>PRD-0667</t>
        </is>
      </c>
      <c r="B668" s="2" t="inlineStr">
        <is>
          <t>공시형</t>
        </is>
      </c>
      <c r="C668" s="2" t="inlineStr">
        <is>
          <t>예금</t>
        </is>
      </c>
      <c r="D668" s="2" t="inlineStr">
        <is>
          <t>정기예금</t>
        </is>
      </c>
      <c r="E668" s="2" t="inlineStr">
        <is>
          <t>calc_interest_diff</t>
        </is>
      </c>
      <c r="F668" s="2" t="inlineStr">
        <is>
          <t>주식회사 케이뱅크 '코드K 정기예금'과 주식회사 하나은행 '하나의정기예금'에 각각 10,000,000원을 12개월 예치하면(단리, 공시 기본금리) 만기 세전 이자 차이는 얼마인가?</t>
        </is>
      </c>
      <c r="G668" s="2" t="inlineStr">
        <is>
          <t>numeric</t>
        </is>
      </c>
      <c r="H668" s="2" t="inlineStr">
        <is>
          <t>141000</t>
        </is>
      </c>
      <c r="I668" s="2" t="inlineStr">
        <is>
          <t>원</t>
        </is>
      </c>
      <c r="J668" s="2" t="inlineStr">
        <is>
          <t>금융감독원 금융상품통합비교공시 Open API (finlife.fss.or.kr), 202608</t>
        </is>
      </c>
      <c r="K668" s="2" t="inlineStr">
        <is>
          <t>주식회사 케이뱅크:01013000110000000001,주식회사 하나은행:4:intr_rate(12개월)</t>
        </is>
      </c>
      <c r="L668" s="2" t="inlineStr">
        <is>
          <t>코드K 정기예금=3.71; 하나의정기예금=2.3</t>
        </is>
      </c>
    </row>
    <row r="669">
      <c r="A669" s="2" t="inlineStr">
        <is>
          <t>PRD-0668</t>
        </is>
      </c>
      <c r="B669" s="2" t="inlineStr">
        <is>
          <t>공시형</t>
        </is>
      </c>
      <c r="C669" s="2" t="inlineStr">
        <is>
          <t>예금</t>
        </is>
      </c>
      <c r="D669" s="2" t="inlineStr">
        <is>
          <t>정기예금</t>
        </is>
      </c>
      <c r="E669" s="2" t="inlineStr">
        <is>
          <t>calc_interest_diff</t>
        </is>
      </c>
      <c r="F669" s="2" t="inlineStr">
        <is>
          <t>10,000,000원을 12개월 예치할 때 주식회사 하나은행 '하나의정기예금'과 중소기업은행 'IBK평생한가족통장(실세금리정기예금)'의 세전 이자 차이를 계산하면? (단리, 공시 기본금리)</t>
        </is>
      </c>
      <c r="G669" s="2" t="inlineStr">
        <is>
          <t>numeric</t>
        </is>
      </c>
      <c r="H669" s="2" t="inlineStr">
        <is>
          <t>5000</t>
        </is>
      </c>
      <c r="I669" s="2" t="inlineStr">
        <is>
          <t>원</t>
        </is>
      </c>
      <c r="J669" s="2" t="inlineStr">
        <is>
          <t>금융감독원 금융상품통합비교공시 Open API (finlife.fss.or.kr), 202608</t>
        </is>
      </c>
      <c r="K669" s="2" t="inlineStr">
        <is>
          <t>주식회사 하나은행:4,중소기업은행:01211310121:intr_rate(12개월)</t>
        </is>
      </c>
      <c r="L669" s="2" t="inlineStr">
        <is>
          <t>하나의정기예금=2.3; IBK평생한가족통장(실세금리정기예금)=2.25</t>
        </is>
      </c>
    </row>
    <row r="670">
      <c r="A670" s="2" t="inlineStr">
        <is>
          <t>PRD-0669</t>
        </is>
      </c>
      <c r="B670" s="2" t="inlineStr">
        <is>
          <t>공시형</t>
        </is>
      </c>
      <c r="C670" s="2" t="inlineStr">
        <is>
          <t>예금</t>
        </is>
      </c>
      <c r="D670" s="2" t="inlineStr">
        <is>
          <t>정기예금</t>
        </is>
      </c>
      <c r="E670" s="2" t="inlineStr">
        <is>
          <t>joint_condition</t>
        </is>
      </c>
      <c r="F670" s="2" t="inlineStr">
        <is>
          <t>광주은행 '미즈월복리정기예금'에 만 22세 개인이 영업점을 통해 가입하는 경우, 연령·가입경로 요건이 동시에 충족되는가? (그 외 요건은 충족 가정)</t>
        </is>
      </c>
      <c r="G670" s="2" t="inlineStr">
        <is>
          <t>boolean</t>
        </is>
      </c>
      <c r="H670" s="2" t="inlineStr">
        <is>
          <t>YES</t>
        </is>
      </c>
      <c r="I670" s="2" t="inlineStr"/>
      <c r="J670" s="2" t="inlineStr">
        <is>
          <t>금융감독원 금융상품통합비교공시 Open API (finlife.fss.or.kr), 202608</t>
        </is>
      </c>
      <c r="K670" s="2" t="inlineStr">
        <is>
          <t>광주은행:TD11300027000:join_member,join_way</t>
        </is>
      </c>
      <c r="L670" s="2" t="inlineStr">
        <is>
          <t>만18세이상 여성으로 실명의 개인 및 개인사업자 | 영업점,인터넷,스마트폰,기타</t>
        </is>
      </c>
    </row>
    <row r="671">
      <c r="A671" s="2" t="inlineStr">
        <is>
          <t>PRD-0670</t>
        </is>
      </c>
      <c r="B671" s="2" t="inlineStr">
        <is>
          <t>공시형</t>
        </is>
      </c>
      <c r="C671" s="2" t="inlineStr">
        <is>
          <t>예금</t>
        </is>
      </c>
      <c r="D671" s="2" t="inlineStr">
        <is>
          <t>정기예금</t>
        </is>
      </c>
      <c r="E671" s="2" t="inlineStr">
        <is>
          <t>joint_condition</t>
        </is>
      </c>
      <c r="F671" s="2" t="inlineStr">
        <is>
          <t>광주은행 '미즈월복리정기예금'에 만 14세 개인이 영업점을 통해 가입하는 경우, 연령·가입경로 요건이 동시에 충족되는가? (그 외 요건은 충족 가정)</t>
        </is>
      </c>
      <c r="G671" s="2" t="inlineStr">
        <is>
          <t>boolean</t>
        </is>
      </c>
      <c r="H671" s="2" t="inlineStr">
        <is>
          <t>NO</t>
        </is>
      </c>
      <c r="I671" s="2" t="inlineStr"/>
      <c r="J671" s="2" t="inlineStr">
        <is>
          <t>금융감독원 금융상품통합비교공시 Open API (finlife.fss.or.kr), 202608</t>
        </is>
      </c>
      <c r="K671" s="2" t="inlineStr">
        <is>
          <t>광주은행:TD11300027000:join_member,join_way</t>
        </is>
      </c>
      <c r="L671" s="2" t="inlineStr">
        <is>
          <t>만18세이상 여성으로 실명의 개인 및 개인사업자 | 영업점,인터넷,스마트폰,기타</t>
        </is>
      </c>
    </row>
    <row r="672">
      <c r="A672" s="2" t="inlineStr">
        <is>
          <t>PRD-0671</t>
        </is>
      </c>
      <c r="B672" s="2" t="inlineStr">
        <is>
          <t>공시형</t>
        </is>
      </c>
      <c r="C672" s="2" t="inlineStr">
        <is>
          <t>예금</t>
        </is>
      </c>
      <c r="D672" s="2" t="inlineStr">
        <is>
          <t>정기예금</t>
        </is>
      </c>
      <c r="E672" s="2" t="inlineStr">
        <is>
          <t>joint_condition</t>
        </is>
      </c>
      <c r="F672" s="2" t="inlineStr">
        <is>
          <t>신한은행 '쏠편한 정기예금'에 만 18세 개인이 인터넷을 통해 가입하는 경우, 연령·가입경로 요건이 동시에 충족되는가? (그 외 요건은 충족 가정)</t>
        </is>
      </c>
      <c r="G672" s="2" t="inlineStr">
        <is>
          <t>boolean</t>
        </is>
      </c>
      <c r="H672" s="2" t="inlineStr">
        <is>
          <t>YES</t>
        </is>
      </c>
      <c r="I672" s="2" t="inlineStr"/>
      <c r="J672" s="2" t="inlineStr">
        <is>
          <t>금융감독원 금융상품통합비교공시 Open API (finlife.fss.or.kr), 202608</t>
        </is>
      </c>
      <c r="K672" s="2" t="inlineStr">
        <is>
          <t>신한은행:207-0135-12:join_member,join_way</t>
        </is>
      </c>
      <c r="L672" s="2" t="inlineStr">
        <is>
          <t>만14세이상 개인고객 | 인터넷,스마트폰</t>
        </is>
      </c>
    </row>
    <row r="673">
      <c r="A673" s="2" t="inlineStr">
        <is>
          <t>PRD-0672</t>
        </is>
      </c>
      <c r="B673" s="2" t="inlineStr">
        <is>
          <t>공시형</t>
        </is>
      </c>
      <c r="C673" s="2" t="inlineStr">
        <is>
          <t>예금</t>
        </is>
      </c>
      <c r="D673" s="2" t="inlineStr">
        <is>
          <t>정기예금</t>
        </is>
      </c>
      <c r="E673" s="2" t="inlineStr">
        <is>
          <t>joint_condition</t>
        </is>
      </c>
      <c r="F673" s="2" t="inlineStr">
        <is>
          <t>신한은행 '쏠편한 정기예금'에 만 18세 개인이 영업점을 통해 가입하는 경우, 연령·가입경로 요건이 동시에 충족되는가? (그 외 요건은 충족 가정)</t>
        </is>
      </c>
      <c r="G673" s="2" t="inlineStr">
        <is>
          <t>boolean</t>
        </is>
      </c>
      <c r="H673" s="2" t="inlineStr">
        <is>
          <t>NO</t>
        </is>
      </c>
      <c r="I673" s="2" t="inlineStr"/>
      <c r="J673" s="2" t="inlineStr">
        <is>
          <t>금융감독원 금융상품통합비교공시 Open API (finlife.fss.or.kr), 202608</t>
        </is>
      </c>
      <c r="K673" s="2" t="inlineStr">
        <is>
          <t>신한은행:207-0135-12:join_member,join_way</t>
        </is>
      </c>
      <c r="L673" s="2" t="inlineStr">
        <is>
          <t>만14세이상 개인고객 | 인터넷,스마트폰</t>
        </is>
      </c>
    </row>
    <row r="674">
      <c r="A674" s="2" t="inlineStr">
        <is>
          <t>PRD-0673</t>
        </is>
      </c>
      <c r="B674" s="2" t="inlineStr">
        <is>
          <t>공시형</t>
        </is>
      </c>
      <c r="C674" s="2" t="inlineStr">
        <is>
          <t>예금</t>
        </is>
      </c>
      <c r="D674" s="2" t="inlineStr">
        <is>
          <t>정기예금</t>
        </is>
      </c>
      <c r="E674" s="2" t="inlineStr">
        <is>
          <t>joint_condition</t>
        </is>
      </c>
      <c r="F674" s="2" t="inlineStr">
        <is>
          <t>주식회사 카카오뱅크 '카카오뱅크 정기예금'에 만 18세 개인이 스마트폰을 통해 가입하는 경우, 연령·가입경로 요건이 동시에 충족되는가? (그 외 요건은 충족 가정)</t>
        </is>
      </c>
      <c r="G674" s="2" t="inlineStr">
        <is>
          <t>boolean</t>
        </is>
      </c>
      <c r="H674" s="2" t="inlineStr">
        <is>
          <t>YES</t>
        </is>
      </c>
      <c r="I674" s="2" t="inlineStr"/>
      <c r="J674" s="2" t="inlineStr">
        <is>
          <t>금융감독원 금융상품통합비교공시 Open API (finlife.fss.or.kr), 202608</t>
        </is>
      </c>
      <c r="K674" s="2" t="inlineStr">
        <is>
          <t>주식회사 카카오뱅크:10-01-20-388-0002:join_member,join_way</t>
        </is>
      </c>
      <c r="L674" s="2" t="inlineStr">
        <is>
          <t>만 14세 이상의 실명의 개인 | 스마트폰</t>
        </is>
      </c>
    </row>
    <row r="675">
      <c r="A675" s="2" t="inlineStr">
        <is>
          <t>PRD-0674</t>
        </is>
      </c>
      <c r="B675" s="2" t="inlineStr">
        <is>
          <t>공시형</t>
        </is>
      </c>
      <c r="C675" s="2" t="inlineStr">
        <is>
          <t>예금</t>
        </is>
      </c>
      <c r="D675" s="2" t="inlineStr">
        <is>
          <t>정기예금</t>
        </is>
      </c>
      <c r="E675" s="2" t="inlineStr">
        <is>
          <t>joint_condition</t>
        </is>
      </c>
      <c r="F675" s="2" t="inlineStr">
        <is>
          <t>만 18세인 개인이 영업점 경로로 주식회사 카카오뱅크 '카카오뱅크 정기예금'에 가입하려 한다. 연령 요건과 가입 경로 요건을 모두 충족하는가? (그 외 요건은 충족 가정)</t>
        </is>
      </c>
      <c r="G675" s="2" t="inlineStr">
        <is>
          <t>boolean</t>
        </is>
      </c>
      <c r="H675" s="2" t="inlineStr">
        <is>
          <t>NO</t>
        </is>
      </c>
      <c r="I675" s="2" t="inlineStr"/>
      <c r="J675" s="2" t="inlineStr">
        <is>
          <t>금융감독원 금융상품통합비교공시 Open API (finlife.fss.or.kr), 202608</t>
        </is>
      </c>
      <c r="K675" s="2" t="inlineStr">
        <is>
          <t>주식회사 카카오뱅크:10-01-20-388-0002:join_member,join_way</t>
        </is>
      </c>
      <c r="L675" s="2" t="inlineStr">
        <is>
          <t>만 14세 이상의 실명의 개인 | 스마트폰</t>
        </is>
      </c>
    </row>
    <row r="676">
      <c r="A676" s="2" t="inlineStr">
        <is>
          <t>PRD-0675</t>
        </is>
      </c>
      <c r="B676" s="2" t="inlineStr">
        <is>
          <t>공시형</t>
        </is>
      </c>
      <c r="C676" s="2" t="inlineStr">
        <is>
          <t>예금</t>
        </is>
      </c>
      <c r="D676" s="2" t="inlineStr">
        <is>
          <t>정기예금</t>
        </is>
      </c>
      <c r="E676" s="2" t="inlineStr">
        <is>
          <t>joint_condition</t>
        </is>
      </c>
      <c r="F676" s="2" t="inlineStr">
        <is>
          <t>주식회사 케이뱅크 '코드K 정기예금'에 만 21세 개인이 스마트폰을 통해 가입하는 경우, 연령·가입경로 요건이 동시에 충족되는가? (그 외 요건은 충족 가정)</t>
        </is>
      </c>
      <c r="G676" s="2" t="inlineStr">
        <is>
          <t>boolean</t>
        </is>
      </c>
      <c r="H676" s="2" t="inlineStr">
        <is>
          <t>YES</t>
        </is>
      </c>
      <c r="I676" s="2" t="inlineStr"/>
      <c r="J676" s="2" t="inlineStr">
        <is>
          <t>금융감독원 금융상품통합비교공시 Open API (finlife.fss.or.kr), 202608</t>
        </is>
      </c>
      <c r="K676" s="2" t="inlineStr">
        <is>
          <t>주식회사 케이뱅크:01013000110000000001:join_member,join_way</t>
        </is>
      </c>
      <c r="L676" s="2" t="inlineStr">
        <is>
          <t>만 17세 이상 실명의 개인 및 개인사업자 | 스마트폰</t>
        </is>
      </c>
    </row>
    <row r="677">
      <c r="A677" s="2" t="inlineStr">
        <is>
          <t>PRD-0676</t>
        </is>
      </c>
      <c r="B677" s="2" t="inlineStr">
        <is>
          <t>공시형</t>
        </is>
      </c>
      <c r="C677" s="2" t="inlineStr">
        <is>
          <t>예금</t>
        </is>
      </c>
      <c r="D677" s="2" t="inlineStr">
        <is>
          <t>정기예금</t>
        </is>
      </c>
      <c r="E677" s="2" t="inlineStr">
        <is>
          <t>joint_condition</t>
        </is>
      </c>
      <c r="F677" s="2" t="inlineStr">
        <is>
          <t>주식회사 케이뱅크 '코드K 정기예금'에 만 21세 개인이 영업점을 통해 가입하는 경우, 연령·가입경로 요건이 동시에 충족되는가? (그 외 요건은 충족 가정)</t>
        </is>
      </c>
      <c r="G677" s="2" t="inlineStr">
        <is>
          <t>boolean</t>
        </is>
      </c>
      <c r="H677" s="2" t="inlineStr">
        <is>
          <t>NO</t>
        </is>
      </c>
      <c r="I677" s="2" t="inlineStr"/>
      <c r="J677" s="2" t="inlineStr">
        <is>
          <t>금융감독원 금융상품통합비교공시 Open API (finlife.fss.or.kr), 202608</t>
        </is>
      </c>
      <c r="K677" s="2" t="inlineStr">
        <is>
          <t>주식회사 케이뱅크:01013000110000000001:join_member,join_way</t>
        </is>
      </c>
      <c r="L677" s="2" t="inlineStr">
        <is>
          <t>만 17세 이상 실명의 개인 및 개인사업자 | 스마트폰</t>
        </is>
      </c>
    </row>
    <row r="678">
      <c r="A678" s="2" t="inlineStr">
        <is>
          <t>PRD-0677</t>
        </is>
      </c>
      <c r="B678" s="2" t="inlineStr">
        <is>
          <t>공시형</t>
        </is>
      </c>
      <c r="C678" s="2" t="inlineStr">
        <is>
          <t>예금</t>
        </is>
      </c>
      <c r="D678" s="2" t="inlineStr">
        <is>
          <t>정기예금</t>
        </is>
      </c>
      <c r="E678" s="2" t="inlineStr">
        <is>
          <t>joint_condition</t>
        </is>
      </c>
      <c r="F678" s="2" t="inlineStr">
        <is>
          <t>만 21세인 개인이 스마트폰 경로로 토스뱅크 주식회사 '토스뱅크 먼저 이자 받는 정기예금'에 가입하려 한다. 연령 요건과 가입 경로 요건을 모두 충족하는가? (그 외 요건은 충족 가정)</t>
        </is>
      </c>
      <c r="G678" s="2" t="inlineStr">
        <is>
          <t>boolean</t>
        </is>
      </c>
      <c r="H678" s="2" t="inlineStr">
        <is>
          <t>YES</t>
        </is>
      </c>
      <c r="I678" s="2" t="inlineStr"/>
      <c r="J678" s="2" t="inlineStr">
        <is>
          <t>금융감독원 금융상품통합비교공시 Open API (finlife.fss.or.kr), 202608</t>
        </is>
      </c>
      <c r="K678" s="2" t="inlineStr">
        <is>
          <t>토스뱅크 주식회사:1001202000002:join_member,join_way</t>
        </is>
      </c>
      <c r="L678" s="2" t="inlineStr">
        <is>
          <t>토스뱅크 통장 또는 토스뱅크 서브 통장을 보유한 만 17세 이상 실명의 개인 | 스마트폰</t>
        </is>
      </c>
    </row>
    <row r="679">
      <c r="A679" s="2" t="inlineStr">
        <is>
          <t>PRD-0678</t>
        </is>
      </c>
      <c r="B679" s="2" t="inlineStr">
        <is>
          <t>공시형</t>
        </is>
      </c>
      <c r="C679" s="2" t="inlineStr">
        <is>
          <t>예금</t>
        </is>
      </c>
      <c r="D679" s="2" t="inlineStr">
        <is>
          <t>정기예금</t>
        </is>
      </c>
      <c r="E679" s="2" t="inlineStr">
        <is>
          <t>joint_condition</t>
        </is>
      </c>
      <c r="F679" s="2" t="inlineStr">
        <is>
          <t>토스뱅크 주식회사 '토스뱅크 먼저 이자 받는 정기예금'에 만 21세 개인이 영업점을 통해 가입하는 경우, 연령·가입경로 요건이 동시에 충족되는가? (그 외 요건은 충족 가정)</t>
        </is>
      </c>
      <c r="G679" s="2" t="inlineStr">
        <is>
          <t>boolean</t>
        </is>
      </c>
      <c r="H679" s="2" t="inlineStr">
        <is>
          <t>NO</t>
        </is>
      </c>
      <c r="I679" s="2" t="inlineStr"/>
      <c r="J679" s="2" t="inlineStr">
        <is>
          <t>금융감독원 금융상품통합비교공시 Open API (finlife.fss.or.kr), 202608</t>
        </is>
      </c>
      <c r="K679" s="2" t="inlineStr">
        <is>
          <t>토스뱅크 주식회사:1001202000002:join_member,join_way</t>
        </is>
      </c>
      <c r="L679" s="2" t="inlineStr">
        <is>
          <t>토스뱅크 통장 또는 토스뱅크 서브 통장을 보유한 만 17세 이상 실명의 개인 | 스마트폰</t>
        </is>
      </c>
    </row>
    <row r="680">
      <c r="A680" s="2" t="inlineStr">
        <is>
          <t>PRD-0679</t>
        </is>
      </c>
      <c r="B680" s="2" t="inlineStr">
        <is>
          <t>공시형</t>
        </is>
      </c>
      <c r="C680" s="2" t="inlineStr">
        <is>
          <t>예금</t>
        </is>
      </c>
      <c r="D680" s="2" t="inlineStr">
        <is>
          <t>적금</t>
        </is>
      </c>
      <c r="E680" s="2" t="inlineStr">
        <is>
          <t>joint_condition</t>
        </is>
      </c>
      <c r="F680" s="2" t="inlineStr">
        <is>
          <t>광주은행 '여행스케치_남도투어적금'에 만 18세 개인이 영업점을 통해 가입하는 경우, 연령·가입경로 요건이 동시에 충족되는가? (그 외 요건은 충족 가정)</t>
        </is>
      </c>
      <c r="G680" s="2" t="inlineStr">
        <is>
          <t>boolean</t>
        </is>
      </c>
      <c r="H680" s="2" t="inlineStr">
        <is>
          <t>YES</t>
        </is>
      </c>
      <c r="I680" s="2" t="inlineStr"/>
      <c r="J680" s="2" t="inlineStr">
        <is>
          <t>금융감독원 금융상품통합비교공시 Open API (finlife.fss.or.kr), 202608</t>
        </is>
      </c>
      <c r="K680" s="2" t="inlineStr">
        <is>
          <t>광주은행:TD11330030000:join_member,join_way</t>
        </is>
      </c>
      <c r="L680" s="2" t="inlineStr">
        <is>
          <t>만14세이상 개인 및 개인사업자 | 영업점,스마트폰</t>
        </is>
      </c>
    </row>
    <row r="681">
      <c r="A681" s="2" t="inlineStr">
        <is>
          <t>PRD-0680</t>
        </is>
      </c>
      <c r="B681" s="2" t="inlineStr">
        <is>
          <t>공시형</t>
        </is>
      </c>
      <c r="C681" s="2" t="inlineStr">
        <is>
          <t>예금</t>
        </is>
      </c>
      <c r="D681" s="2" t="inlineStr">
        <is>
          <t>적금</t>
        </is>
      </c>
      <c r="E681" s="2" t="inlineStr">
        <is>
          <t>joint_condition</t>
        </is>
      </c>
      <c r="F681" s="2" t="inlineStr">
        <is>
          <t>만 10세인 개인이 영업점 경로로 광주은행 '여행스케치_남도투어적금'에 가입하려 한다. 연령 요건과 가입 경로 요건을 모두 충족하는가? (그 외 요건은 충족 가정)</t>
        </is>
      </c>
      <c r="G681" s="2" t="inlineStr">
        <is>
          <t>boolean</t>
        </is>
      </c>
      <c r="H681" s="2" t="inlineStr">
        <is>
          <t>NO</t>
        </is>
      </c>
      <c r="I681" s="2" t="inlineStr"/>
      <c r="J681" s="2" t="inlineStr">
        <is>
          <t>금융감독원 금융상품통합비교공시 Open API (finlife.fss.or.kr), 202608</t>
        </is>
      </c>
      <c r="K681" s="2" t="inlineStr">
        <is>
          <t>광주은행:TD11330030000:join_member,join_way</t>
        </is>
      </c>
      <c r="L681" s="2" t="inlineStr">
        <is>
          <t>만14세이상 개인 및 개인사업자 | 영업점,스마트폰</t>
        </is>
      </c>
    </row>
    <row r="682">
      <c r="A682" s="2" t="inlineStr">
        <is>
          <t>PRD-0681</t>
        </is>
      </c>
      <c r="B682" s="2" t="inlineStr">
        <is>
          <t>공시형</t>
        </is>
      </c>
      <c r="C682" s="2" t="inlineStr">
        <is>
          <t>예금</t>
        </is>
      </c>
      <c r="D682" s="2" t="inlineStr">
        <is>
          <t>적금</t>
        </is>
      </c>
      <c r="E682" s="2" t="inlineStr">
        <is>
          <t>joint_condition</t>
        </is>
      </c>
      <c r="F682" s="2" t="inlineStr">
        <is>
          <t>농협은행주식회사 'NH직장인월복리적금'에 만 22세 개인이 영업점을 통해 가입하는 경우, 연령·가입경로 요건이 동시에 충족되는가? (그 외 요건은 충족 가정)</t>
        </is>
      </c>
      <c r="G682" s="2" t="inlineStr">
        <is>
          <t>boolean</t>
        </is>
      </c>
      <c r="H682" s="2" t="inlineStr">
        <is>
          <t>YES</t>
        </is>
      </c>
      <c r="I682" s="2" t="inlineStr"/>
      <c r="J682" s="2" t="inlineStr">
        <is>
          <t>금융감독원 금융상품통합비교공시 Open API (finlife.fss.or.kr), 202608</t>
        </is>
      </c>
      <c r="K682" s="2" t="inlineStr">
        <is>
          <t>농협은행주식회사:10-059-1264-0001:join_member,join_way</t>
        </is>
      </c>
      <c r="L682" s="2" t="inlineStr">
        <is>
          <t>만18세이상 개인 | 영업점,인터넷,스마트폰</t>
        </is>
      </c>
    </row>
    <row r="683">
      <c r="A683" s="2" t="inlineStr">
        <is>
          <t>PRD-0682</t>
        </is>
      </c>
      <c r="B683" s="2" t="inlineStr">
        <is>
          <t>공시형</t>
        </is>
      </c>
      <c r="C683" s="2" t="inlineStr">
        <is>
          <t>예금</t>
        </is>
      </c>
      <c r="D683" s="2" t="inlineStr">
        <is>
          <t>적금</t>
        </is>
      </c>
      <c r="E683" s="2" t="inlineStr">
        <is>
          <t>joint_condition</t>
        </is>
      </c>
      <c r="F683" s="2" t="inlineStr">
        <is>
          <t>농협은행주식회사 'NH직장인월복리적금'에 만 14세 개인이 영업점을 통해 가입하는 경우, 연령·가입경로 요건이 동시에 충족되는가? (그 외 요건은 충족 가정)</t>
        </is>
      </c>
      <c r="G683" s="2" t="inlineStr">
        <is>
          <t>boolean</t>
        </is>
      </c>
      <c r="H683" s="2" t="inlineStr">
        <is>
          <t>NO</t>
        </is>
      </c>
      <c r="I683" s="2" t="inlineStr"/>
      <c r="J683" s="2" t="inlineStr">
        <is>
          <t>금융감독원 금융상품통합비교공시 Open API (finlife.fss.or.kr), 202608</t>
        </is>
      </c>
      <c r="K683" s="2" t="inlineStr">
        <is>
          <t>농협은행주식회사:10-059-1264-0001:join_member,join_way</t>
        </is>
      </c>
      <c r="L683" s="2" t="inlineStr">
        <is>
          <t>만18세이상 개인 | 영업점,인터넷,스마트폰</t>
        </is>
      </c>
    </row>
    <row r="684">
      <c r="A684" s="2" t="inlineStr">
        <is>
          <t>PRD-0683</t>
        </is>
      </c>
      <c r="B684" s="2" t="inlineStr">
        <is>
          <t>공시형</t>
        </is>
      </c>
      <c r="C684" s="2" t="inlineStr">
        <is>
          <t>예금</t>
        </is>
      </c>
      <c r="D684" s="2" t="inlineStr">
        <is>
          <t>적금</t>
        </is>
      </c>
      <c r="E684" s="2" t="inlineStr">
        <is>
          <t>joint_condition</t>
        </is>
      </c>
      <c r="F684" s="2" t="inlineStr">
        <is>
          <t>부산은행 '부산이라 좋다 Big적금'에 만 18세 개인이 스마트폰을 통해 가입하는 경우, 연령·가입경로 요건이 동시에 충족되는가? (그 외 요건은 충족 가정)</t>
        </is>
      </c>
      <c r="G684" s="2" t="inlineStr">
        <is>
          <t>boolean</t>
        </is>
      </c>
      <c r="H684" s="2" t="inlineStr">
        <is>
          <t>YES</t>
        </is>
      </c>
      <c r="I684" s="2" t="inlineStr"/>
      <c r="J684" s="2" t="inlineStr">
        <is>
          <t>금융감독원 금융상품통합비교공시 Open API (finlife.fss.or.kr), 202608</t>
        </is>
      </c>
      <c r="K684" s="2" t="inlineStr">
        <is>
          <t>부산은행:01020400660001:join_member,join_way</t>
        </is>
      </c>
      <c r="L684" s="2" t="inlineStr">
        <is>
          <t>만 14세이상 실명의 개인고객(1인 1계좌) | 스마트폰</t>
        </is>
      </c>
    </row>
    <row r="685">
      <c r="A685" s="2" t="inlineStr">
        <is>
          <t>PRD-0684</t>
        </is>
      </c>
      <c r="B685" s="2" t="inlineStr">
        <is>
          <t>공시형</t>
        </is>
      </c>
      <c r="C685" s="2" t="inlineStr">
        <is>
          <t>예금</t>
        </is>
      </c>
      <c r="D685" s="2" t="inlineStr">
        <is>
          <t>적금</t>
        </is>
      </c>
      <c r="E685" s="2" t="inlineStr">
        <is>
          <t>joint_condition</t>
        </is>
      </c>
      <c r="F685" s="2" t="inlineStr">
        <is>
          <t>부산은행 '부산이라 좋다 Big적금'에 만 18세 개인이 영업점을 통해 가입하는 경우, 연령·가입경로 요건이 동시에 충족되는가? (그 외 요건은 충족 가정)</t>
        </is>
      </c>
      <c r="G685" s="2" t="inlineStr">
        <is>
          <t>boolean</t>
        </is>
      </c>
      <c r="H685" s="2" t="inlineStr">
        <is>
          <t>NO</t>
        </is>
      </c>
      <c r="I685" s="2" t="inlineStr"/>
      <c r="J685" s="2" t="inlineStr">
        <is>
          <t>금융감독원 금융상품통합비교공시 Open API (finlife.fss.or.kr), 202608</t>
        </is>
      </c>
      <c r="K685" s="2" t="inlineStr">
        <is>
          <t>부산은행:01020400660001:join_member,join_way</t>
        </is>
      </c>
      <c r="L685" s="2" t="inlineStr">
        <is>
          <t>만 14세이상 실명의 개인고객(1인 1계좌) | 스마트폰</t>
        </is>
      </c>
    </row>
    <row r="686">
      <c r="A686" s="2" t="inlineStr">
        <is>
          <t>PRD-0685</t>
        </is>
      </c>
      <c r="B686" s="2" t="inlineStr">
        <is>
          <t>공시형</t>
        </is>
      </c>
      <c r="C686" s="2" t="inlineStr">
        <is>
          <t>예금</t>
        </is>
      </c>
      <c r="D686" s="2" t="inlineStr">
        <is>
          <t>적금</t>
        </is>
      </c>
      <c r="E686" s="2" t="inlineStr">
        <is>
          <t>joint_condition</t>
        </is>
      </c>
      <c r="F686" s="2" t="inlineStr">
        <is>
          <t>부산은행 'Only One 주거래 우대적금'에 만 18세 개인이 영업점을 통해 가입하는 경우, 연령·가입경로 요건이 동시에 충족되는가? (그 외 요건은 충족 가정)</t>
        </is>
      </c>
      <c r="G686" s="2" t="inlineStr">
        <is>
          <t>boolean</t>
        </is>
      </c>
      <c r="H686" s="2" t="inlineStr">
        <is>
          <t>YES</t>
        </is>
      </c>
      <c r="I686" s="2" t="inlineStr"/>
      <c r="J686" s="2" t="inlineStr">
        <is>
          <t>금융감독원 금융상품통합비교공시 Open API (finlife.fss.or.kr), 202608</t>
        </is>
      </c>
      <c r="K686" s="2" t="inlineStr">
        <is>
          <t>부산은행:01020400700001:join_member,join_way</t>
        </is>
      </c>
      <c r="L686" s="2" t="inlineStr">
        <is>
          <t>만14세 이상 실명의 개인(1인 1계좌) | 영업점,스마트폰</t>
        </is>
      </c>
    </row>
    <row r="687">
      <c r="A687" s="2" t="inlineStr">
        <is>
          <t>PRD-0686</t>
        </is>
      </c>
      <c r="B687" s="2" t="inlineStr">
        <is>
          <t>공시형</t>
        </is>
      </c>
      <c r="C687" s="2" t="inlineStr">
        <is>
          <t>예금</t>
        </is>
      </c>
      <c r="D687" s="2" t="inlineStr">
        <is>
          <t>적금</t>
        </is>
      </c>
      <c r="E687" s="2" t="inlineStr">
        <is>
          <t>joint_condition</t>
        </is>
      </c>
      <c r="F687" s="2" t="inlineStr">
        <is>
          <t>부산은행 'Only One 주거래 우대적금'에 만 10세 개인이 영업점을 통해 가입하는 경우, 연령·가입경로 요건이 동시에 충족되는가? (그 외 요건은 충족 가정)</t>
        </is>
      </c>
      <c r="G687" s="2" t="inlineStr">
        <is>
          <t>boolean</t>
        </is>
      </c>
      <c r="H687" s="2" t="inlineStr">
        <is>
          <t>NO</t>
        </is>
      </c>
      <c r="I687" s="2" t="inlineStr"/>
      <c r="J687" s="2" t="inlineStr">
        <is>
          <t>금융감독원 금융상품통합비교공시 Open API (finlife.fss.or.kr), 202608</t>
        </is>
      </c>
      <c r="K687" s="2" t="inlineStr">
        <is>
          <t>부산은행:01020400700001:join_member,join_way</t>
        </is>
      </c>
      <c r="L687" s="2" t="inlineStr">
        <is>
          <t>만14세 이상 실명의 개인(1인 1계좌) | 영업점,스마트폰</t>
        </is>
      </c>
    </row>
    <row r="688">
      <c r="A688" s="2" t="inlineStr">
        <is>
          <t>PRD-0687</t>
        </is>
      </c>
      <c r="B688" s="2" t="inlineStr">
        <is>
          <t>공시형</t>
        </is>
      </c>
      <c r="C688" s="2" t="inlineStr">
        <is>
          <t>예금</t>
        </is>
      </c>
      <c r="D688" s="2" t="inlineStr">
        <is>
          <t>적금</t>
        </is>
      </c>
      <c r="E688" s="2" t="inlineStr">
        <is>
          <t>joint_condition</t>
        </is>
      </c>
      <c r="F688" s="2" t="inlineStr">
        <is>
          <t>만 18세인 개인이 스마트폰 경로로 주식회사 카카오뱅크 '카카오뱅크 자유적금'에 가입하려 한다. 연령 요건과 가입 경로 요건을 모두 충족하는가? (그 외 요건은 충족 가정)</t>
        </is>
      </c>
      <c r="G688" s="2" t="inlineStr">
        <is>
          <t>boolean</t>
        </is>
      </c>
      <c r="H688" s="2" t="inlineStr">
        <is>
          <t>YES</t>
        </is>
      </c>
      <c r="I688" s="2" t="inlineStr"/>
      <c r="J688" s="2" t="inlineStr">
        <is>
          <t>금융감독원 금융상품통합비교공시 Open API (finlife.fss.or.kr), 202608</t>
        </is>
      </c>
      <c r="K688" s="2" t="inlineStr">
        <is>
          <t>주식회사 카카오뱅크:10-01-30-355-0002:join_member,join_way</t>
        </is>
      </c>
      <c r="L688" s="2" t="inlineStr">
        <is>
          <t>만 14세 이상의 실명의 개인 | 스마트폰</t>
        </is>
      </c>
    </row>
    <row r="689">
      <c r="A689" s="2" t="inlineStr">
        <is>
          <t>PRD-0688</t>
        </is>
      </c>
      <c r="B689" s="2" t="inlineStr">
        <is>
          <t>공시형</t>
        </is>
      </c>
      <c r="C689" s="2" t="inlineStr">
        <is>
          <t>예금</t>
        </is>
      </c>
      <c r="D689" s="2" t="inlineStr">
        <is>
          <t>적금</t>
        </is>
      </c>
      <c r="E689" s="2" t="inlineStr">
        <is>
          <t>joint_condition</t>
        </is>
      </c>
      <c r="F689" s="2" t="inlineStr">
        <is>
          <t>주식회사 카카오뱅크 '카카오뱅크 자유적금'에 만 18세 개인이 영업점을 통해 가입하는 경우, 연령·가입경로 요건이 동시에 충족되는가? (그 외 요건은 충족 가정)</t>
        </is>
      </c>
      <c r="G689" s="2" t="inlineStr">
        <is>
          <t>boolean</t>
        </is>
      </c>
      <c r="H689" s="2" t="inlineStr">
        <is>
          <t>NO</t>
        </is>
      </c>
      <c r="I689" s="2" t="inlineStr"/>
      <c r="J689" s="2" t="inlineStr">
        <is>
          <t>금융감독원 금융상품통합비교공시 Open API (finlife.fss.or.kr), 202608</t>
        </is>
      </c>
      <c r="K689" s="2" t="inlineStr">
        <is>
          <t>주식회사 카카오뱅크:10-01-30-355-0002:join_member,join_way</t>
        </is>
      </c>
      <c r="L689" s="2" t="inlineStr">
        <is>
          <t>만 14세 이상의 실명의 개인 | 스마트폰</t>
        </is>
      </c>
    </row>
    <row r="690">
      <c r="A690" s="2" t="inlineStr">
        <is>
          <t>PRD-0689</t>
        </is>
      </c>
      <c r="B690" s="2" t="inlineStr">
        <is>
          <t>공시형</t>
        </is>
      </c>
      <c r="C690" s="2" t="inlineStr">
        <is>
          <t>예금</t>
        </is>
      </c>
      <c r="D690" s="2" t="inlineStr">
        <is>
          <t>적금</t>
        </is>
      </c>
      <c r="E690" s="2" t="inlineStr">
        <is>
          <t>joint_condition</t>
        </is>
      </c>
      <c r="F690" s="2" t="inlineStr">
        <is>
          <t>만 18세인 개인이 스마트폰 경로로 주식회사 카카오뱅크 '카카오뱅크 26주적금'에 가입하려 한다. 연령 요건과 가입 경로 요건을 모두 충족하는가? (그 외 요건은 충족 가정)</t>
        </is>
      </c>
      <c r="G690" s="2" t="inlineStr">
        <is>
          <t>boolean</t>
        </is>
      </c>
      <c r="H690" s="2" t="inlineStr">
        <is>
          <t>YES</t>
        </is>
      </c>
      <c r="I690" s="2" t="inlineStr"/>
      <c r="J690" s="2" t="inlineStr">
        <is>
          <t>금융감독원 금융상품통합비교공시 Open API (finlife.fss.or.kr), 202608</t>
        </is>
      </c>
      <c r="K690" s="2" t="inlineStr">
        <is>
          <t>주식회사 카카오뱅크:10-01-30-355-0005:join_member,join_way</t>
        </is>
      </c>
      <c r="L690" s="2" t="inlineStr">
        <is>
          <t>만 14세 이상의 실명의 개인 | 스마트폰</t>
        </is>
      </c>
    </row>
    <row r="691">
      <c r="A691" s="2" t="inlineStr">
        <is>
          <t>PRD-0690</t>
        </is>
      </c>
      <c r="B691" s="2" t="inlineStr">
        <is>
          <t>공시형</t>
        </is>
      </c>
      <c r="C691" s="2" t="inlineStr">
        <is>
          <t>예금</t>
        </is>
      </c>
      <c r="D691" s="2" t="inlineStr">
        <is>
          <t>적금</t>
        </is>
      </c>
      <c r="E691" s="2" t="inlineStr">
        <is>
          <t>joint_condition</t>
        </is>
      </c>
      <c r="F691" s="2" t="inlineStr">
        <is>
          <t>만 10세인 개인이 스마트폰 경로로 주식회사 카카오뱅크 '카카오뱅크 26주적금'에 가입하려 한다. 연령 요건과 가입 경로 요건을 모두 충족하는가? (그 외 요건은 충족 가정)</t>
        </is>
      </c>
      <c r="G691" s="2" t="inlineStr">
        <is>
          <t>boolean</t>
        </is>
      </c>
      <c r="H691" s="2" t="inlineStr">
        <is>
          <t>NO</t>
        </is>
      </c>
      <c r="I691" s="2" t="inlineStr"/>
      <c r="J691" s="2" t="inlineStr">
        <is>
          <t>금융감독원 금융상품통합비교공시 Open API (finlife.fss.or.kr), 202608</t>
        </is>
      </c>
      <c r="K691" s="2" t="inlineStr">
        <is>
          <t>주식회사 카카오뱅크:10-01-30-355-0005:join_member,join_way</t>
        </is>
      </c>
      <c r="L691" s="2" t="inlineStr">
        <is>
          <t>만 14세 이상의 실명의 개인 | 스마트폰</t>
        </is>
      </c>
    </row>
    <row r="692">
      <c r="A692" s="2" t="inlineStr">
        <is>
          <t>PRD-0691</t>
        </is>
      </c>
      <c r="B692" s="2" t="inlineStr">
        <is>
          <t>공시형</t>
        </is>
      </c>
      <c r="C692" s="2" t="inlineStr">
        <is>
          <t>예금</t>
        </is>
      </c>
      <c r="D692" s="2" t="inlineStr">
        <is>
          <t>적금</t>
        </is>
      </c>
      <c r="E692" s="2" t="inlineStr">
        <is>
          <t>joint_condition</t>
        </is>
      </c>
      <c r="F692" s="2" t="inlineStr">
        <is>
          <t>만 18세인 개인이 스마트폰 경로로 주식회사 카카오뱅크 '카카오뱅크 한달적금'에 가입하려 한다. 연령 요건과 가입 경로 요건을 모두 충족하는가? (그 외 요건은 충족 가정)</t>
        </is>
      </c>
      <c r="G692" s="2" t="inlineStr">
        <is>
          <t>boolean</t>
        </is>
      </c>
      <c r="H692" s="2" t="inlineStr">
        <is>
          <t>YES</t>
        </is>
      </c>
      <c r="I692" s="2" t="inlineStr"/>
      <c r="J692" s="2" t="inlineStr">
        <is>
          <t>금융감독원 금융상품통합비교공시 Open API (finlife.fss.or.kr), 202608</t>
        </is>
      </c>
      <c r="K692" s="2" t="inlineStr">
        <is>
          <t>주식회사 카카오뱅크:10-01-30-355-0006:join_member,join_way</t>
        </is>
      </c>
      <c r="L692" s="2" t="inlineStr">
        <is>
          <t>만 14세 이상의 실명의 개인 | 스마트폰</t>
        </is>
      </c>
    </row>
    <row r="693">
      <c r="A693" s="2" t="inlineStr">
        <is>
          <t>PRD-0692</t>
        </is>
      </c>
      <c r="B693" s="2" t="inlineStr">
        <is>
          <t>공시형</t>
        </is>
      </c>
      <c r="C693" s="2" t="inlineStr">
        <is>
          <t>예금</t>
        </is>
      </c>
      <c r="D693" s="2" t="inlineStr">
        <is>
          <t>적금</t>
        </is>
      </c>
      <c r="E693" s="2" t="inlineStr">
        <is>
          <t>joint_condition</t>
        </is>
      </c>
      <c r="F693" s="2" t="inlineStr">
        <is>
          <t>만 10세인 개인이 스마트폰 경로로 주식회사 카카오뱅크 '카카오뱅크 한달적금'에 가입하려 한다. 연령 요건과 가입 경로 요건을 모두 충족하는가? (그 외 요건은 충족 가정)</t>
        </is>
      </c>
      <c r="G693" s="2" t="inlineStr">
        <is>
          <t>boolean</t>
        </is>
      </c>
      <c r="H693" s="2" t="inlineStr">
        <is>
          <t>NO</t>
        </is>
      </c>
      <c r="I693" s="2" t="inlineStr"/>
      <c r="J693" s="2" t="inlineStr">
        <is>
          <t>금융감독원 금융상품통합비교공시 Open API (finlife.fss.or.kr), 202608</t>
        </is>
      </c>
      <c r="K693" s="2" t="inlineStr">
        <is>
          <t>주식회사 카카오뱅크:10-01-30-355-0006:join_member,join_way</t>
        </is>
      </c>
      <c r="L693" s="2" t="inlineStr">
        <is>
          <t>만 14세 이상의 실명의 개인 | 스마트폰</t>
        </is>
      </c>
    </row>
    <row r="694">
      <c r="A694" s="2" t="inlineStr">
        <is>
          <t>PRD-0693</t>
        </is>
      </c>
      <c r="B694" s="2" t="inlineStr">
        <is>
          <t>공시형</t>
        </is>
      </c>
      <c r="C694" s="2" t="inlineStr">
        <is>
          <t>예금</t>
        </is>
      </c>
      <c r="D694" s="2" t="inlineStr">
        <is>
          <t>적금</t>
        </is>
      </c>
      <c r="E694" s="2" t="inlineStr">
        <is>
          <t>joint_condition</t>
        </is>
      </c>
      <c r="F694" s="2" t="inlineStr">
        <is>
          <t>주식회사 케이뱅크 '코드K 자유적금'에 만 21세 개인이 스마트폰을 통해 가입하는 경우, 연령·가입경로 요건이 동시에 충족되는가? (그 외 요건은 충족 가정)</t>
        </is>
      </c>
      <c r="G694" s="2" t="inlineStr">
        <is>
          <t>boolean</t>
        </is>
      </c>
      <c r="H694" s="2" t="inlineStr">
        <is>
          <t>YES</t>
        </is>
      </c>
      <c r="I694" s="2" t="inlineStr"/>
      <c r="J694" s="2" t="inlineStr">
        <is>
          <t>금융감독원 금융상품통합비교공시 Open API (finlife.fss.or.kr), 202608</t>
        </is>
      </c>
      <c r="K694" s="2" t="inlineStr">
        <is>
          <t>주식회사 케이뱅크:01012000200000000003:join_member,join_way</t>
        </is>
      </c>
      <c r="L694" s="2" t="inlineStr">
        <is>
          <t>만 17세 이상 실명의 개인 및 개인사업자 | 스마트폰</t>
        </is>
      </c>
    </row>
    <row r="695">
      <c r="A695" s="2" t="inlineStr">
        <is>
          <t>PRD-0694</t>
        </is>
      </c>
      <c r="B695" s="2" t="inlineStr">
        <is>
          <t>공시형</t>
        </is>
      </c>
      <c r="C695" s="2" t="inlineStr">
        <is>
          <t>예금</t>
        </is>
      </c>
      <c r="D695" s="2" t="inlineStr">
        <is>
          <t>적금</t>
        </is>
      </c>
      <c r="E695" s="2" t="inlineStr">
        <is>
          <t>joint_condition</t>
        </is>
      </c>
      <c r="F695" s="2" t="inlineStr">
        <is>
          <t>주식회사 케이뱅크 '코드K 자유적금'에 만 13세 개인이 스마트폰을 통해 가입하는 경우, 연령·가입경로 요건이 동시에 충족되는가? (그 외 요건은 충족 가정)</t>
        </is>
      </c>
      <c r="G695" s="2" t="inlineStr">
        <is>
          <t>boolean</t>
        </is>
      </c>
      <c r="H695" s="2" t="inlineStr">
        <is>
          <t>NO</t>
        </is>
      </c>
      <c r="I695" s="2" t="inlineStr"/>
      <c r="J695" s="2" t="inlineStr">
        <is>
          <t>금융감독원 금융상품통합비교공시 Open API (finlife.fss.or.kr), 202608</t>
        </is>
      </c>
      <c r="K695" s="2" t="inlineStr">
        <is>
          <t>주식회사 케이뱅크:01012000200000000003:join_member,join_way</t>
        </is>
      </c>
      <c r="L695" s="2" t="inlineStr">
        <is>
          <t>만 17세 이상 실명의 개인 및 개인사업자 | 스마트폰</t>
        </is>
      </c>
    </row>
    <row r="696">
      <c r="A696" s="2" t="inlineStr">
        <is>
          <t>PRD-0695</t>
        </is>
      </c>
      <c r="B696" s="2" t="inlineStr">
        <is>
          <t>공시형</t>
        </is>
      </c>
      <c r="C696" s="2" t="inlineStr">
        <is>
          <t>예금</t>
        </is>
      </c>
      <c r="D696" s="2" t="inlineStr">
        <is>
          <t>적금</t>
        </is>
      </c>
      <c r="E696" s="2" t="inlineStr">
        <is>
          <t>joint_condition</t>
        </is>
      </c>
      <c r="F696" s="2" t="inlineStr">
        <is>
          <t>주식회사 케이뱅크 '궁금한 적금'에 만 21세 개인이 스마트폰을 통해 가입하는 경우, 연령·가입경로 요건이 동시에 충족되는가? (그 외 요건은 충족 가정)</t>
        </is>
      </c>
      <c r="G696" s="2" t="inlineStr">
        <is>
          <t>boolean</t>
        </is>
      </c>
      <c r="H696" s="2" t="inlineStr">
        <is>
          <t>YES</t>
        </is>
      </c>
      <c r="I696" s="2" t="inlineStr"/>
      <c r="J696" s="2" t="inlineStr">
        <is>
          <t>금융감독원 금융상품통합비교공시 Open API (finlife.fss.or.kr), 202608</t>
        </is>
      </c>
      <c r="K696" s="2" t="inlineStr">
        <is>
          <t>주식회사 케이뱅크:01012000200000000004:join_member,join_way</t>
        </is>
      </c>
      <c r="L696" s="2" t="inlineStr">
        <is>
          <t>만 17세 이상 실명의 개인 및 개인사업자 | 스마트폰</t>
        </is>
      </c>
    </row>
    <row r="697">
      <c r="A697" s="2" t="inlineStr">
        <is>
          <t>PRD-0696</t>
        </is>
      </c>
      <c r="B697" s="2" t="inlineStr">
        <is>
          <t>공시형</t>
        </is>
      </c>
      <c r="C697" s="2" t="inlineStr">
        <is>
          <t>예금</t>
        </is>
      </c>
      <c r="D697" s="2" t="inlineStr">
        <is>
          <t>적금</t>
        </is>
      </c>
      <c r="E697" s="2" t="inlineStr">
        <is>
          <t>joint_condition</t>
        </is>
      </c>
      <c r="F697" s="2" t="inlineStr">
        <is>
          <t>만 21세인 개인이 영업점 경로로 주식회사 케이뱅크 '궁금한 적금'에 가입하려 한다. 연령 요건과 가입 경로 요건을 모두 충족하는가? (그 외 요건은 충족 가정)</t>
        </is>
      </c>
      <c r="G697" s="2" t="inlineStr">
        <is>
          <t>boolean</t>
        </is>
      </c>
      <c r="H697" s="2" t="inlineStr">
        <is>
          <t>NO</t>
        </is>
      </c>
      <c r="I697" s="2" t="inlineStr"/>
      <c r="J697" s="2" t="inlineStr">
        <is>
          <t>금융감독원 금융상품통합비교공시 Open API (finlife.fss.or.kr), 202608</t>
        </is>
      </c>
      <c r="K697" s="2" t="inlineStr">
        <is>
          <t>주식회사 케이뱅크:01012000200000000004:join_member,join_way</t>
        </is>
      </c>
      <c r="L697" s="2" t="inlineStr">
        <is>
          <t>만 17세 이상 실명의 개인 및 개인사업자 | 스마트폰</t>
        </is>
      </c>
    </row>
    <row r="698">
      <c r="A698" s="2" t="inlineStr">
        <is>
          <t>PRD-0697</t>
        </is>
      </c>
      <c r="B698" s="2" t="inlineStr">
        <is>
          <t>공시형</t>
        </is>
      </c>
      <c r="C698" s="2" t="inlineStr">
        <is>
          <t>예금</t>
        </is>
      </c>
      <c r="D698" s="2" t="inlineStr">
        <is>
          <t>적금</t>
        </is>
      </c>
      <c r="E698" s="2" t="inlineStr">
        <is>
          <t>joint_condition</t>
        </is>
      </c>
      <c r="F698" s="2" t="inlineStr">
        <is>
          <t>주식회사 케이뱅크 '데굴데굴 농장'에 만 21세 개인이 스마트폰을 통해 가입하는 경우, 연령·가입경로 요건이 동시에 충족되는가? (그 외 요건은 충족 가정)</t>
        </is>
      </c>
      <c r="G698" s="2" t="inlineStr">
        <is>
          <t>boolean</t>
        </is>
      </c>
      <c r="H698" s="2" t="inlineStr">
        <is>
          <t>YES</t>
        </is>
      </c>
      <c r="I698" s="2" t="inlineStr"/>
      <c r="J698" s="2" t="inlineStr">
        <is>
          <t>금융감독원 금융상품통합비교공시 Open API (finlife.fss.or.kr), 202608</t>
        </is>
      </c>
      <c r="K698" s="2" t="inlineStr">
        <is>
          <t>주식회사 케이뱅크:01012000200000000005:join_member,join_way</t>
        </is>
      </c>
      <c r="L698" s="2" t="inlineStr">
        <is>
          <t>만 17세 이상 실명의 개인 및 개인사업자 | 스마트폰</t>
        </is>
      </c>
    </row>
    <row r="699">
      <c r="A699" s="2" t="inlineStr">
        <is>
          <t>PRD-0698</t>
        </is>
      </c>
      <c r="B699" s="2" t="inlineStr">
        <is>
          <t>공시형</t>
        </is>
      </c>
      <c r="C699" s="2" t="inlineStr">
        <is>
          <t>예금</t>
        </is>
      </c>
      <c r="D699" s="2" t="inlineStr">
        <is>
          <t>적금</t>
        </is>
      </c>
      <c r="E699" s="2" t="inlineStr">
        <is>
          <t>joint_condition</t>
        </is>
      </c>
      <c r="F699" s="2" t="inlineStr">
        <is>
          <t>주식회사 케이뱅크 '데굴데굴 농장'에 만 21세 개인이 영업점을 통해 가입하는 경우, 연령·가입경로 요건이 동시에 충족되는가? (그 외 요건은 충족 가정)</t>
        </is>
      </c>
      <c r="G699" s="2" t="inlineStr">
        <is>
          <t>boolean</t>
        </is>
      </c>
      <c r="H699" s="2" t="inlineStr">
        <is>
          <t>NO</t>
        </is>
      </c>
      <c r="I699" s="2" t="inlineStr"/>
      <c r="J699" s="2" t="inlineStr">
        <is>
          <t>금융감독원 금융상품통합비교공시 Open API (finlife.fss.or.kr), 202608</t>
        </is>
      </c>
      <c r="K699" s="2" t="inlineStr">
        <is>
          <t>주식회사 케이뱅크:01012000200000000005:join_member,join_way</t>
        </is>
      </c>
      <c r="L699" s="2" t="inlineStr">
        <is>
          <t>만 17세 이상 실명의 개인 및 개인사업자 | 스마트폰</t>
        </is>
      </c>
    </row>
    <row r="700">
      <c r="A700" s="2" t="inlineStr">
        <is>
          <t>PRD-0699</t>
        </is>
      </c>
      <c r="B700" s="2" t="inlineStr">
        <is>
          <t>공시형</t>
        </is>
      </c>
      <c r="C700" s="2" t="inlineStr">
        <is>
          <t>예금</t>
        </is>
      </c>
      <c r="D700" s="2" t="inlineStr">
        <is>
          <t>적금</t>
        </is>
      </c>
      <c r="E700" s="2" t="inlineStr">
        <is>
          <t>joint_condition</t>
        </is>
      </c>
      <c r="F700" s="2" t="inlineStr">
        <is>
          <t>주식회사 케이뱅크 '주거래우대 자유적금'에 만 21세 개인이 스마트폰을 통해 가입하는 경우, 연령·가입경로 요건이 동시에 충족되는가? (그 외 요건은 충족 가정)</t>
        </is>
      </c>
      <c r="G700" s="2" t="inlineStr">
        <is>
          <t>boolean</t>
        </is>
      </c>
      <c r="H700" s="2" t="inlineStr">
        <is>
          <t>YES</t>
        </is>
      </c>
      <c r="I700" s="2" t="inlineStr"/>
      <c r="J700" s="2" t="inlineStr">
        <is>
          <t>금융감독원 금융상품통합비교공시 Open API (finlife.fss.or.kr), 202608</t>
        </is>
      </c>
      <c r="K700" s="2" t="inlineStr">
        <is>
          <t>주식회사 케이뱅크:01012000210000000000:join_member,join_way</t>
        </is>
      </c>
      <c r="L700" s="2" t="inlineStr">
        <is>
          <t>만 17세 이상 실명의 개인 및 개인사업자 | 스마트폰</t>
        </is>
      </c>
    </row>
    <row r="701">
      <c r="A701" s="2" t="inlineStr">
        <is>
          <t>PRD-0700</t>
        </is>
      </c>
      <c r="B701" s="2" t="inlineStr">
        <is>
          <t>공시형</t>
        </is>
      </c>
      <c r="C701" s="2" t="inlineStr">
        <is>
          <t>예금</t>
        </is>
      </c>
      <c r="D701" s="2" t="inlineStr">
        <is>
          <t>적금</t>
        </is>
      </c>
      <c r="E701" s="2" t="inlineStr">
        <is>
          <t>joint_condition</t>
        </is>
      </c>
      <c r="F701" s="2" t="inlineStr">
        <is>
          <t>주식회사 케이뱅크 '주거래우대 자유적금'에 만 13세 개인이 스마트폰을 통해 가입하는 경우, 연령·가입경로 요건이 동시에 충족되는가? (그 외 요건은 충족 가정)</t>
        </is>
      </c>
      <c r="G701" s="2" t="inlineStr">
        <is>
          <t>boolean</t>
        </is>
      </c>
      <c r="H701" s="2" t="inlineStr">
        <is>
          <t>NO</t>
        </is>
      </c>
      <c r="I701" s="2" t="inlineStr"/>
      <c r="J701" s="2" t="inlineStr">
        <is>
          <t>금융감독원 금융상품통합비교공시 Open API (finlife.fss.or.kr), 202608</t>
        </is>
      </c>
      <c r="K701" s="2" t="inlineStr">
        <is>
          <t>주식회사 케이뱅크:01012000210000000000:join_member,join_way</t>
        </is>
      </c>
      <c r="L701" s="2" t="inlineStr">
        <is>
          <t>만 17세 이상 실명의 개인 및 개인사업자 | 스마트폰</t>
        </is>
      </c>
    </row>
    <row r="702">
      <c r="A702" s="2" t="inlineStr">
        <is>
          <t>REG-0701</t>
        </is>
      </c>
      <c r="B702" s="2" t="inlineStr">
        <is>
          <t>규정형</t>
        </is>
      </c>
      <c r="C702" s="2" t="inlineStr">
        <is>
          <t>공통</t>
        </is>
      </c>
      <c r="D702" s="2" t="inlineStr">
        <is>
          <t>은행법</t>
        </is>
      </c>
      <c r="E702" s="2" t="inlineStr">
        <is>
          <t>article_locate</t>
        </is>
      </c>
      <c r="F702" s="2" t="inlineStr">
        <is>
          <t>「은행법」에서 '건전경영의 지도'를 규정한 조문은 몇 조인가?</t>
        </is>
      </c>
      <c r="G702" s="2" t="inlineStr">
        <is>
          <t>span</t>
        </is>
      </c>
      <c r="H702" s="2" t="inlineStr">
        <is>
          <t>제34조</t>
        </is>
      </c>
      <c r="I702" s="2" t="inlineStr"/>
      <c r="J702" s="2" t="inlineStr">
        <is>
          <t>국가법령정보센터 Open API (www.law.go.kr) — 은행법 (시행 20260701)</t>
        </is>
      </c>
      <c r="K702" s="2" t="inlineStr">
        <is>
          <t>제34조</t>
        </is>
      </c>
      <c r="L702" s="2" t="inlineStr">
        <is>
          <t>제34조(건전경영의 지도)
① 은행은 은행업을 경영할 때 자기자본을 충실하게 하고 적정한 유동성을 유지하는 등 경영의 건전성을 확보하여야 한다.
② 은행은 경영의 건전성을 유지하기 위하여 다음 각 호의 사항에 관하여 대통령령으로 정하는 바에 따라 금융위원회가 정하는 경영지도기준을 지켜야 한다.
1. 자본의 적정성에 관한 사항
2. 자산의 건전성에 관한 사항</t>
        </is>
      </c>
    </row>
    <row r="703">
      <c r="A703" s="2" t="inlineStr">
        <is>
          <t>REG-0702</t>
        </is>
      </c>
      <c r="B703" s="2" t="inlineStr">
        <is>
          <t>규정형</t>
        </is>
      </c>
      <c r="C703" s="2" t="inlineStr">
        <is>
          <t>공통</t>
        </is>
      </c>
      <c r="D703" s="2" t="inlineStr">
        <is>
          <t>은행법</t>
        </is>
      </c>
      <c r="E703" s="2" t="inlineStr">
        <is>
          <t>article_locate</t>
        </is>
      </c>
      <c r="F703" s="2" t="inlineStr">
        <is>
          <t>「은행법」에서 '결손처분' 관련 규정은 제 몇 조인가?</t>
        </is>
      </c>
      <c r="G703" s="2" t="inlineStr">
        <is>
          <t>span</t>
        </is>
      </c>
      <c r="H703" s="2" t="inlineStr">
        <is>
          <t>제65조의11</t>
        </is>
      </c>
      <c r="I703" s="2" t="inlineStr"/>
      <c r="J703" s="2" t="inlineStr">
        <is>
          <t>국가법령정보센터 Open API (www.law.go.kr) — 은행법 (시행 20260701)</t>
        </is>
      </c>
      <c r="K703" s="2" t="inlineStr">
        <is>
          <t>제65조의11</t>
        </is>
      </c>
      <c r="L703" s="2" t="inlineStr">
        <is>
          <t>제65조의11(결손처분) 금융위원회는 과징금납무의무자에게 다음 각 호의 어느 하나에 해당하는 사유가 있으면 결손처분을 할 수 있다.
1. 체납처분이 끝나고 체납액에 충당된 배분금액이 체납액에 미치지 못하는 경우
2. 징수금 등의 징수권에 대한 소멸시효가 완성된 경우
3. 체납자의 행방이 분명하지 아니하거나 재산이 없다는 것이 판명된 경우
4. 체납처분의 목</t>
        </is>
      </c>
    </row>
    <row r="704">
      <c r="A704" s="2" t="inlineStr">
        <is>
          <t>REG-0703</t>
        </is>
      </c>
      <c r="B704" s="2" t="inlineStr">
        <is>
          <t>규정형</t>
        </is>
      </c>
      <c r="C704" s="2" t="inlineStr">
        <is>
          <t>공통</t>
        </is>
      </c>
      <c r="D704" s="2" t="inlineStr">
        <is>
          <t>은행법</t>
        </is>
      </c>
      <c r="E704" s="2" t="inlineStr">
        <is>
          <t>article_locate</t>
        </is>
      </c>
      <c r="F704" s="2" t="inlineStr">
        <is>
          <t>「은행법」에서 '겸영업무의 운영'을 규정한 조문은 몇 조인가?</t>
        </is>
      </c>
      <c r="G704" s="2" t="inlineStr">
        <is>
          <t>span</t>
        </is>
      </c>
      <c r="H704" s="2" t="inlineStr">
        <is>
          <t>제28조</t>
        </is>
      </c>
      <c r="I704" s="2" t="inlineStr"/>
      <c r="J704" s="2" t="inlineStr">
        <is>
          <t>국가법령정보센터 Open API (www.law.go.kr) — 은행법 (시행 20260701)</t>
        </is>
      </c>
      <c r="K704" s="2" t="inlineStr">
        <is>
          <t>제28조</t>
        </is>
      </c>
      <c r="L704" s="2" t="inlineStr">
        <is>
          <t>제28조(겸영업무의 운영)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t>
        </is>
      </c>
    </row>
    <row r="705">
      <c r="A705" s="2" t="inlineStr">
        <is>
          <t>REG-0704</t>
        </is>
      </c>
      <c r="B705" s="2" t="inlineStr">
        <is>
          <t>규정형</t>
        </is>
      </c>
      <c r="C705" s="2" t="inlineStr">
        <is>
          <t>공통</t>
        </is>
      </c>
      <c r="D705" s="2" t="inlineStr">
        <is>
          <t>은행법</t>
        </is>
      </c>
      <c r="E705" s="2" t="inlineStr">
        <is>
          <t>article_locate</t>
        </is>
      </c>
      <c r="F705" s="2" t="inlineStr">
        <is>
          <t>「은행법」에서 '경영공시'를 규정한 조문은 몇 조인가?</t>
        </is>
      </c>
      <c r="G705" s="2" t="inlineStr">
        <is>
          <t>span</t>
        </is>
      </c>
      <c r="H705" s="2" t="inlineStr">
        <is>
          <t>제43조의3</t>
        </is>
      </c>
      <c r="I705" s="2" t="inlineStr"/>
      <c r="J705" s="2" t="inlineStr">
        <is>
          <t>국가법령정보센터 Open API (www.law.go.kr) — 은행법 (시행 20260701)</t>
        </is>
      </c>
      <c r="K705" s="2" t="inlineStr">
        <is>
          <t>제43조의3</t>
        </is>
      </c>
      <c r="L705" s="2" t="inlineStr">
        <is>
          <t>제43조의3(경영공시) 은행은 예금자와 투자자를 보호하기 위하여 필요한 사항으로서 대통령령으로 정하는 사항을 금융위원회가 정하는 바에 따라 공시하여야 한다.</t>
        </is>
      </c>
    </row>
    <row r="706">
      <c r="A706" s="2" t="inlineStr">
        <is>
          <t>REG-0705</t>
        </is>
      </c>
      <c r="B706" s="2" t="inlineStr">
        <is>
          <t>규정형</t>
        </is>
      </c>
      <c r="C706" s="2" t="inlineStr">
        <is>
          <t>공통</t>
        </is>
      </c>
      <c r="D706" s="2" t="inlineStr">
        <is>
          <t>은행법</t>
        </is>
      </c>
      <c r="E706" s="2" t="inlineStr">
        <is>
          <t>article_locate</t>
        </is>
      </c>
      <c r="F706" s="2" t="inlineStr">
        <is>
          <t>「은행법」의 어느 조문이 '고객응대직원에 대한 보호 조치 의무'를 다루는가?</t>
        </is>
      </c>
      <c r="G706" s="2" t="inlineStr">
        <is>
          <t>span</t>
        </is>
      </c>
      <c r="H706" s="2" t="inlineStr">
        <is>
          <t>제52조의4</t>
        </is>
      </c>
      <c r="I706" s="2" t="inlineStr"/>
      <c r="J706" s="2" t="inlineStr">
        <is>
          <t>국가법령정보센터 Open API (www.law.go.kr) — 은행법 (시행 20260701)</t>
        </is>
      </c>
      <c r="K706" s="2" t="inlineStr">
        <is>
          <t>제52조의4</t>
        </is>
      </c>
      <c r="L706" s="2" t="inlineStr">
        <is>
          <t xml:space="preserve">제52조의4(고객응대직원에 대한 보호 조치 의무)
① 은행은 이 법에 따른 업무를 운영할 때 고객을 직접 응대하는 직원을 고객의 폭언이나 성희롱, 폭행 등으로부터 보호하기 위하여 다음 각 호의 조치를 하여야 한다.
1. 직원이 요청하는 경우 해당 고객으로부터의 분리 및 업무담당자 교체
2. 직원에 대한 치료 및 상담 지원
3. 고객을 직접 응대하는 직원을 </t>
        </is>
      </c>
    </row>
    <row r="707">
      <c r="A707" s="2" t="inlineStr">
        <is>
          <t>REG-0706</t>
        </is>
      </c>
      <c r="B707" s="2" t="inlineStr">
        <is>
          <t>규정형</t>
        </is>
      </c>
      <c r="C707" s="2" t="inlineStr">
        <is>
          <t>공통</t>
        </is>
      </c>
      <c r="D707" s="2" t="inlineStr">
        <is>
          <t>은행법</t>
        </is>
      </c>
      <c r="E707" s="2" t="inlineStr">
        <is>
          <t>article_locate</t>
        </is>
      </c>
      <c r="F707" s="2" t="inlineStr">
        <is>
          <t>'과오납금의 환급' 조항은 「은행법」의 몇 조에 있는가?</t>
        </is>
      </c>
      <c r="G707" s="2" t="inlineStr">
        <is>
          <t>span</t>
        </is>
      </c>
      <c r="H707" s="2" t="inlineStr">
        <is>
          <t>제65조의10</t>
        </is>
      </c>
      <c r="I707" s="2" t="inlineStr"/>
      <c r="J707" s="2" t="inlineStr">
        <is>
          <t>국가법령정보센터 Open API (www.law.go.kr) — 은행법 (시행 20260701)</t>
        </is>
      </c>
      <c r="K707" s="2" t="inlineStr">
        <is>
          <t>제65조의10</t>
        </is>
      </c>
      <c r="L707" s="2" t="inlineStr">
        <is>
          <t>제65조의10(과오납금의 환급)
① 금융위원회는 과징금납부의무자가 이의신청의 재결 또는 법원의 판결 등의 사유로 과징금 과오납금의 환급을 청구하는 경우에는 지체 없이 환급하여야 하며, 과징금납무의무자의 청구가 없어도 금융위원회가 확인한 과오납금은 환급하여야 한다.
② 금융위원회가 제1항에 따라 과징금을 환급하는 경우에는 과징금을 납부한 날부터 환급한 날까지</t>
        </is>
      </c>
    </row>
    <row r="708">
      <c r="A708" s="2" t="inlineStr">
        <is>
          <t>REG-0707</t>
        </is>
      </c>
      <c r="B708" s="2" t="inlineStr">
        <is>
          <t>규정형</t>
        </is>
      </c>
      <c r="C708" s="2" t="inlineStr">
        <is>
          <t>공통</t>
        </is>
      </c>
      <c r="D708" s="2" t="inlineStr">
        <is>
          <t>은행법</t>
        </is>
      </c>
      <c r="E708" s="2" t="inlineStr">
        <is>
          <t>article_locate</t>
        </is>
      </c>
      <c r="F708" s="2" t="inlineStr">
        <is>
          <t>'과징금' 조항은 「은행법」의 몇 조에 있는가?</t>
        </is>
      </c>
      <c r="G708" s="2" t="inlineStr">
        <is>
          <t>span</t>
        </is>
      </c>
      <c r="H708" s="2" t="inlineStr">
        <is>
          <t>제65조의3</t>
        </is>
      </c>
      <c r="I708" s="2" t="inlineStr"/>
      <c r="J708" s="2" t="inlineStr">
        <is>
          <t>국가법령정보센터 Open API (www.law.go.kr) — 은행법 (시행 20260701)</t>
        </is>
      </c>
      <c r="K708" s="2" t="inlineStr">
        <is>
          <t>제65조의3</t>
        </is>
      </c>
      <c r="L708" s="2" t="inlineStr">
        <is>
          <t>제65조의3(과징금) 금융위원회는 은행이 제35조, 제35조의2, 제35조의3, 제37조, 제38조 또는 제62조를 위반하거나 대주주가 제35조의4를 위반한 경우에는 다음 각 호의 구분에 따라 과징금을 부과할 수 있다. 
1. 제35조제1항ㆍ제3항ㆍ제4항 또는 제37조제3항제1호ㆍ제6항제3호에 따른 신용공여한도를 초과한 경우: 초과한 신용공여액의 100분의</t>
        </is>
      </c>
    </row>
    <row r="709">
      <c r="A709" s="2" t="inlineStr">
        <is>
          <t>REG-0708</t>
        </is>
      </c>
      <c r="B709" s="2" t="inlineStr">
        <is>
          <t>규정형</t>
        </is>
      </c>
      <c r="C709" s="2" t="inlineStr">
        <is>
          <t>공통</t>
        </is>
      </c>
      <c r="D709" s="2" t="inlineStr">
        <is>
          <t>은행법</t>
        </is>
      </c>
      <c r="E709" s="2" t="inlineStr">
        <is>
          <t>article_locate</t>
        </is>
      </c>
      <c r="F709" s="2" t="inlineStr">
        <is>
          <t>'과징금 징수 및 체납처분' 조항은 「은행법」의 몇 조에 있는가?</t>
        </is>
      </c>
      <c r="G709" s="2" t="inlineStr">
        <is>
          <t>span</t>
        </is>
      </c>
      <c r="H709" s="2" t="inlineStr">
        <is>
          <t>제65조의8</t>
        </is>
      </c>
      <c r="I709" s="2" t="inlineStr"/>
      <c r="J709" s="2" t="inlineStr">
        <is>
          <t>국가법령정보센터 Open API (www.law.go.kr) — 은행법 (시행 20260701)</t>
        </is>
      </c>
      <c r="K709" s="2" t="inlineStr">
        <is>
          <t>제65조의8</t>
        </is>
      </c>
      <c r="L709" s="2" t="inlineStr">
        <is>
          <t>제65조의8(과징금 징수 및 체납처분)
① 금융위원회는 과징금납부의무자가 납부기한까지 과징금을 내지 아니하면 납부기한의 다음 날부터 과징금을 낸 날의 전날까지의 기간에 대하여 대통령령으로 정하는 가산금을 징수할 수 있다. 이 경우 가산금을 징수하는 기간은 60개월을 초과하지 못한다. 
② 금융위원회는 과징금납부의무자가 납부기한까지 과징금을 내지 아니하면 기</t>
        </is>
      </c>
    </row>
    <row r="710">
      <c r="A710" s="2" t="inlineStr">
        <is>
          <t>REG-0709</t>
        </is>
      </c>
      <c r="B710" s="2" t="inlineStr">
        <is>
          <t>규정형</t>
        </is>
      </c>
      <c r="C710" s="2" t="inlineStr">
        <is>
          <t>공통</t>
        </is>
      </c>
      <c r="D710" s="2" t="inlineStr">
        <is>
          <t>은행법</t>
        </is>
      </c>
      <c r="E710" s="2" t="inlineStr">
        <is>
          <t>article_locate</t>
        </is>
      </c>
      <c r="F710" s="2" t="inlineStr">
        <is>
          <t>「은행법」에서 '과징금의 납부기한 연기 및 분할 납부'를 규정한 조문은 몇 조인가?</t>
        </is>
      </c>
      <c r="G710" s="2" t="inlineStr">
        <is>
          <t>span</t>
        </is>
      </c>
      <c r="H710" s="2" t="inlineStr">
        <is>
          <t>제65조의7</t>
        </is>
      </c>
      <c r="I710" s="2" t="inlineStr"/>
      <c r="J710" s="2" t="inlineStr">
        <is>
          <t>국가법령정보센터 Open API (www.law.go.kr) — 은행법 (시행 20260701)</t>
        </is>
      </c>
      <c r="K710" s="2" t="inlineStr">
        <is>
          <t>제65조의7</t>
        </is>
      </c>
      <c r="L710" s="2" t="inlineStr">
        <is>
          <t>제65조의7(과징금의 납부기한 연기 및 분할 납부)
① 금융위원회는 과징금을 부과받은 자(이하 "과징금납부의무자"라 한다)에 대하여 「행정기본법」 제29조 단서에 따라 과징금 납부기한을 연기하거나 과징금을 분할 납부하게 할 수 있으며, 이 경우 필요하다고 인정하면 담보를 제공하게 할 수 있다.
② 과징금납부의무자는 제1항에 따라 과징금의 납부기한을 연기받거</t>
        </is>
      </c>
    </row>
    <row r="711">
      <c r="A711" s="2" t="inlineStr">
        <is>
          <t>REG-0710</t>
        </is>
      </c>
      <c r="B711" s="2" t="inlineStr">
        <is>
          <t>규정형</t>
        </is>
      </c>
      <c r="C711" s="2" t="inlineStr">
        <is>
          <t>공통</t>
        </is>
      </c>
      <c r="D711" s="2" t="inlineStr">
        <is>
          <t>은행법</t>
        </is>
      </c>
      <c r="E711" s="2" t="inlineStr">
        <is>
          <t>article_locate</t>
        </is>
      </c>
      <c r="F711" s="2" t="inlineStr">
        <is>
          <t>「은행법」의 어느 조문이 '과징금의 부과'를 다루는가?</t>
        </is>
      </c>
      <c r="G711" s="2" t="inlineStr">
        <is>
          <t>span</t>
        </is>
      </c>
      <c r="H711" s="2" t="inlineStr">
        <is>
          <t>제65조의4</t>
        </is>
      </c>
      <c r="I711" s="2" t="inlineStr"/>
      <c r="J711" s="2" t="inlineStr">
        <is>
          <t>국가법령정보센터 Open API (www.law.go.kr) — 은행법 (시행 20260701)</t>
        </is>
      </c>
      <c r="K711" s="2" t="inlineStr">
        <is>
          <t>제65조의4</t>
        </is>
      </c>
      <c r="L711" s="2" t="inlineStr">
        <is>
          <t>제65조의4(과징금의 부과)
① 금융위원회는 제65조의3에 따라 과징금을 부과하는 경우에는 다음 각 호의 사항을 고려하여야 한다.
1. 위반행위의 내용 및 정도
2. 위반행위의 기간 및 횟수
3. 위반행위로 인하여 취득한 이익의 규모
② 과징금의 부과에 관하여 그 밖에 필요한 사항은 대통령령으로 정한다.</t>
        </is>
      </c>
    </row>
    <row r="712">
      <c r="A712" s="2" t="inlineStr">
        <is>
          <t>REG-0711</t>
        </is>
      </c>
      <c r="B712" s="2" t="inlineStr">
        <is>
          <t>규정형</t>
        </is>
      </c>
      <c r="C712" s="2" t="inlineStr">
        <is>
          <t>공통</t>
        </is>
      </c>
      <c r="D712" s="2" t="inlineStr">
        <is>
          <t>은행법</t>
        </is>
      </c>
      <c r="E712" s="2" t="inlineStr">
        <is>
          <t>article_locate</t>
        </is>
      </c>
      <c r="F712" s="2" t="inlineStr">
        <is>
          <t>'과태료' 조항은 「은행법」의 몇 조에 있는가?</t>
        </is>
      </c>
      <c r="G712" s="2" t="inlineStr">
        <is>
          <t>span</t>
        </is>
      </c>
      <c r="H712" s="2" t="inlineStr">
        <is>
          <t>제69조</t>
        </is>
      </c>
      <c r="I712" s="2" t="inlineStr"/>
      <c r="J712" s="2" t="inlineStr">
        <is>
          <t>국가법령정보센터 Open API (www.law.go.kr) — 은행법 (시행 20260701)</t>
        </is>
      </c>
      <c r="K712" s="2" t="inlineStr">
        <is>
          <t>제69조</t>
        </is>
      </c>
      <c r="L712" s="2" t="inlineStr">
        <is>
          <t>제69조(과태료)
① 다음 각 호의 어느 하나에 해당하는 자에게는 1억원 이하의 과태료를 부과한다. 
1. 제13조제2항 또는 제27조의2제2항 또는 제28조제2항을 위반하여 신고하지 아니한 자
2. 제14조를 위반하여 유사상호를 사용한 자
3. 제15조제2항 및 제15조의4를 위반하여 보고를 하지 아니한 자
4. 제15조의3제3항(제15조제3항에 따른 승</t>
        </is>
      </c>
    </row>
    <row r="713">
      <c r="A713" s="2" t="inlineStr">
        <is>
          <t>REG-0712</t>
        </is>
      </c>
      <c r="B713" s="2" t="inlineStr">
        <is>
          <t>규정형</t>
        </is>
      </c>
      <c r="C713" s="2" t="inlineStr">
        <is>
          <t>공통</t>
        </is>
      </c>
      <c r="D713" s="2" t="inlineStr">
        <is>
          <t>은행법</t>
        </is>
      </c>
      <c r="E713" s="2" t="inlineStr">
        <is>
          <t>article_locate</t>
        </is>
      </c>
      <c r="F713" s="2" t="inlineStr">
        <is>
          <t>'국외현지법인 등의 신설' 조항은 「은행법」의 몇 조에 있는가?</t>
        </is>
      </c>
      <c r="G713" s="2" t="inlineStr">
        <is>
          <t>span</t>
        </is>
      </c>
      <c r="H713" s="2" t="inlineStr">
        <is>
          <t>제13조</t>
        </is>
      </c>
      <c r="I713" s="2" t="inlineStr"/>
      <c r="J713" s="2" t="inlineStr">
        <is>
          <t>국가법령정보센터 Open API (www.law.go.kr) — 은행법 (시행 20260701)</t>
        </is>
      </c>
      <c r="K713" s="2" t="inlineStr">
        <is>
          <t>제13조</t>
        </is>
      </c>
      <c r="L713" s="2" t="inlineStr">
        <is>
          <t>제13조(국외현지법인 등의 신설)
① 은행이 대한민국 외에 소재하는 제37조제2항에 따른 자회사등(이하 "국외현지법인"이라 한다) 또는 지점(이하 "국외지점"이라 한다)을 신설하려는 경우에는 신설계획을 수립하여야 한다.
② 제1항에 따른 신설계획을 수립한 은행 중 다음 각 호의 사항 등을 고려하여 대통령령으로 정하는 경우에는 그 계획을 미리 금융위원회에 신</t>
        </is>
      </c>
    </row>
    <row r="714">
      <c r="A714" s="2" t="inlineStr">
        <is>
          <t>REG-0713</t>
        </is>
      </c>
      <c r="B714" s="2" t="inlineStr">
        <is>
          <t>규정형</t>
        </is>
      </c>
      <c r="C714" s="2" t="inlineStr">
        <is>
          <t>공통</t>
        </is>
      </c>
      <c r="D714" s="2" t="inlineStr">
        <is>
          <t>은행법</t>
        </is>
      </c>
      <c r="E714" s="2" t="inlineStr">
        <is>
          <t>article_locate</t>
        </is>
      </c>
      <c r="F714" s="2" t="inlineStr">
        <is>
          <t>'권한의 위탁' 조항은 「은행법」의 몇 조에 있는가?</t>
        </is>
      </c>
      <c r="G714" s="2" t="inlineStr">
        <is>
          <t>span</t>
        </is>
      </c>
      <c r="H714" s="2" t="inlineStr">
        <is>
          <t>제65조</t>
        </is>
      </c>
      <c r="I714" s="2" t="inlineStr"/>
      <c r="J714" s="2" t="inlineStr">
        <is>
          <t>국가법령정보센터 Open API (www.law.go.kr) — 은행법 (시행 20260701)</t>
        </is>
      </c>
      <c r="K714" s="2" t="inlineStr">
        <is>
          <t>제65조</t>
        </is>
      </c>
      <c r="L714" s="2" t="inlineStr">
        <is>
          <t>제65조(권한의 위탁) 금융위원회는 이 법에 따른 권한의 일부를 대통령령으로 정하는 바에 따라 금융감독원장에게 위탁할 수 있다.</t>
        </is>
      </c>
    </row>
    <row r="715">
      <c r="A715" s="2" t="inlineStr">
        <is>
          <t>REG-0714</t>
        </is>
      </c>
      <c r="B715" s="2" t="inlineStr">
        <is>
          <t>규정형</t>
        </is>
      </c>
      <c r="C715" s="2" t="inlineStr">
        <is>
          <t>공통</t>
        </is>
      </c>
      <c r="D715" s="2" t="inlineStr">
        <is>
          <t>은행법</t>
        </is>
      </c>
      <c r="E715" s="2" t="inlineStr">
        <is>
          <t>article_locate</t>
        </is>
      </c>
      <c r="F715" s="2" t="inlineStr">
        <is>
          <t>「은행법」에서 '금리인하 요구'를 규정한 조문은 몇 조인가?</t>
        </is>
      </c>
      <c r="G715" s="2" t="inlineStr">
        <is>
          <t>span</t>
        </is>
      </c>
      <c r="H715" s="2" t="inlineStr">
        <is>
          <t>제30조의2</t>
        </is>
      </c>
      <c r="I715" s="2" t="inlineStr"/>
      <c r="J715" s="2" t="inlineStr">
        <is>
          <t>국가법령정보센터 Open API (www.law.go.kr) — 은행법 (시행 20260701)</t>
        </is>
      </c>
      <c r="K715" s="2" t="inlineStr">
        <is>
          <t>제30조의2</t>
        </is>
      </c>
      <c r="L715" s="2" t="inlineStr">
        <is>
          <t>제30조의2(금리인하 요구)
① 은행과 신용공여 계약을 체결한 자는 재산 증가나 신용등급 또는 개인신용평점 상승 등 신용상태 개선이 나타났다고 인정되는 경우 은행에 금리인하를 요구할 수 있다. 
② 은행은 신용공여 계약을 체결하려는 자에게 제1항에 따라 금리인하를 요구할 수 있음을 알려야 한다.
③ 그 밖에 금리인하 요구의 요건 및 절차에 관한 구체적 사항</t>
        </is>
      </c>
    </row>
    <row r="716">
      <c r="A716" s="2" t="inlineStr">
        <is>
          <t>REG-0715</t>
        </is>
      </c>
      <c r="B716" s="2" t="inlineStr">
        <is>
          <t>규정형</t>
        </is>
      </c>
      <c r="C716" s="2" t="inlineStr">
        <is>
          <t>펀드</t>
        </is>
      </c>
      <c r="D716" s="2" t="inlineStr">
        <is>
          <t>자본시장과 금융투자업에 관한 법률</t>
        </is>
      </c>
      <c r="E716" s="2" t="inlineStr">
        <is>
          <t>article_locate</t>
        </is>
      </c>
      <c r="F716" s="2" t="inlineStr">
        <is>
          <t>'「상법」 및 「민법」과의 관계' 조항은 「자본시장과 금융투자업에 관한 법률」의 몇 조에 있는가?</t>
        </is>
      </c>
      <c r="G716" s="2" t="inlineStr">
        <is>
          <t>span</t>
        </is>
      </c>
      <c r="H716" s="2" t="inlineStr">
        <is>
          <t>제223조</t>
        </is>
      </c>
      <c r="I716" s="2" t="inlineStr"/>
      <c r="J716" s="2" t="inlineStr">
        <is>
          <t>국가법령정보센터 Open API (www.law.go.kr) — 자본시장과 금융투자업에 관한 법률 (시행 20260203)</t>
        </is>
      </c>
      <c r="K716" s="2" t="inlineStr">
        <is>
          <t>제223조</t>
        </is>
      </c>
      <c r="L716" s="2" t="inlineStr">
        <is>
          <t>제223조(「상법」 및 「민법」과의 관계)
① 투자합자조합에 「상법」을 적용함에 있어서 같은 법 제86조의8제2항(제200조의2를 준용하는 경우로 한정한다), 같은 조 제3항(제277조를 준용하는 경우로 한정한다) 중 "법원"은 각각 "금융위원회"로 본다.
② 「상법」 제86조의8제2항(제198조, 제208조제2항 및 제287조를 준용하는 경우로 한정한다)</t>
        </is>
      </c>
    </row>
    <row r="717">
      <c r="A717" s="2" t="inlineStr">
        <is>
          <t>REG-0716</t>
        </is>
      </c>
      <c r="B717" s="2" t="inlineStr">
        <is>
          <t>규정형</t>
        </is>
      </c>
      <c r="C717" s="2" t="inlineStr">
        <is>
          <t>펀드</t>
        </is>
      </c>
      <c r="D717" s="2" t="inlineStr">
        <is>
          <t>자본시장과 금융투자업에 관한 법률</t>
        </is>
      </c>
      <c r="E717" s="2" t="inlineStr">
        <is>
          <t>article_locate</t>
        </is>
      </c>
      <c r="F717" s="2" t="inlineStr">
        <is>
          <t>'「상법」의 적용' 조항은 「자본시장과 금융투자업에 관한 법률」의 몇 조에 있는가?</t>
        </is>
      </c>
      <c r="G717" s="2" t="inlineStr">
        <is>
          <t>span</t>
        </is>
      </c>
      <c r="H717" s="2" t="inlineStr">
        <is>
          <t>제374조</t>
        </is>
      </c>
      <c r="I717" s="2" t="inlineStr"/>
      <c r="J717" s="2" t="inlineStr">
        <is>
          <t>국가법령정보센터 Open API (www.law.go.kr) — 자본시장과 금융투자업에 관한 법률 (시행 20260203)</t>
        </is>
      </c>
      <c r="K717" s="2" t="inlineStr">
        <is>
          <t>제374조</t>
        </is>
      </c>
      <c r="L717" s="2" t="inlineStr">
        <is>
          <t>제374조(「상법」의 적용) 거래소에 대하여는 이 법에서 특별히 정한 경우를 제외하고는 「상법」 중 주식회사에 관한 규정을 적용한다.</t>
        </is>
      </c>
    </row>
    <row r="718">
      <c r="A718" s="2" t="inlineStr">
        <is>
          <t>REG-0717</t>
        </is>
      </c>
      <c r="B718" s="2" t="inlineStr">
        <is>
          <t>규정형</t>
        </is>
      </c>
      <c r="C718" s="2" t="inlineStr">
        <is>
          <t>펀드</t>
        </is>
      </c>
      <c r="D718" s="2" t="inlineStr">
        <is>
          <t>자본시장과 금융투자업에 관한 법률</t>
        </is>
      </c>
      <c r="E718" s="2" t="inlineStr">
        <is>
          <t>article_locate</t>
        </is>
      </c>
      <c r="F718" s="2" t="inlineStr">
        <is>
          <t>「자본시장과 금융투자업에 관한 법률」의 어느 조문이 '「상법」의 준용'을 다루는가?</t>
        </is>
      </c>
      <c r="G718" s="2" t="inlineStr">
        <is>
          <t>span</t>
        </is>
      </c>
      <c r="H718" s="2" t="inlineStr">
        <is>
          <t>제300조</t>
        </is>
      </c>
      <c r="I718" s="2" t="inlineStr"/>
      <c r="J718" s="2" t="inlineStr">
        <is>
          <t>국가법령정보센터 Open API (www.law.go.kr) — 자본시장과 금융투자업에 관한 법률 (시행 20260203)</t>
        </is>
      </c>
      <c r="K718" s="2" t="inlineStr">
        <is>
          <t>제300조</t>
        </is>
      </c>
      <c r="L718" s="2" t="inlineStr">
        <is>
          <t xml:space="preserve">제300조(「상법」의 준용)
①예탁결제원에 관하여 이 법 또는 이 법에 따른 명령에 특별한 규정이 있는 것을 제외하고는 「상법」 중 주식회사에 관한 규정(제517조부터 제521조의2까지의 규정을 제외한다)을 준용한다. 
② 예탁결제원은 이 법 또는 다른 법률에서 인가ㆍ허가ㆍ등록ㆍ신고 등이 필요한 업무를 수행하는 경우에는 「상법」에 따른 주식회사로 본다. </t>
        </is>
      </c>
    </row>
    <row r="719">
      <c r="A719" s="2" t="inlineStr">
        <is>
          <t>REG-0718</t>
        </is>
      </c>
      <c r="B719" s="2" t="inlineStr">
        <is>
          <t>규정형</t>
        </is>
      </c>
      <c r="C719" s="2" t="inlineStr">
        <is>
          <t>펀드</t>
        </is>
      </c>
      <c r="D719" s="2" t="inlineStr">
        <is>
          <t>자본시장과 금융투자업에 관한 법률</t>
        </is>
      </c>
      <c r="E719" s="2" t="inlineStr">
        <is>
          <t>article_locate</t>
        </is>
      </c>
      <c r="F719" s="2" t="inlineStr">
        <is>
          <t>「자본시장과 금융투자업에 관한 법률」의 어느 조문이 '감독이사'를 다루는가?</t>
        </is>
      </c>
      <c r="G719" s="2" t="inlineStr">
        <is>
          <t>span</t>
        </is>
      </c>
      <c r="H719" s="2" t="inlineStr">
        <is>
          <t>제199조</t>
        </is>
      </c>
      <c r="I719" s="2" t="inlineStr"/>
      <c r="J719" s="2" t="inlineStr">
        <is>
          <t>국가법령정보센터 Open API (www.law.go.kr) — 자본시장과 금융투자업에 관한 법률 (시행 20260203)</t>
        </is>
      </c>
      <c r="K719" s="2" t="inlineStr">
        <is>
          <t>제199조</t>
        </is>
      </c>
      <c r="L719" s="2" t="inlineStr">
        <is>
          <t>제199조(감독이사)
① 감독이사는 법인이사의 업무집행을 감독하며, 투자회사의 업무 및 재산상황을 파악하기 위하여 필요한 경우에는 법인이사와 그 투자회사재산을 보관ㆍ관리하는 신탁업자, 그 투자회사의 주식을 판매하는 투자매매업자ㆍ투자중개업자 또는 그 투자회사로부터 제184조제6항의 업무를 위탁받은 일반사무관리회사에 대하여 그 투자회사와 관련되는 업무 및 재산</t>
        </is>
      </c>
    </row>
    <row r="720">
      <c r="A720" s="2" t="inlineStr">
        <is>
          <t>REG-0719</t>
        </is>
      </c>
      <c r="B720" s="2" t="inlineStr">
        <is>
          <t>규정형</t>
        </is>
      </c>
      <c r="C720" s="2" t="inlineStr">
        <is>
          <t>펀드</t>
        </is>
      </c>
      <c r="D720" s="2" t="inlineStr">
        <is>
          <t>자본시장과 금융투자업에 관한 법률</t>
        </is>
      </c>
      <c r="E720" s="2" t="inlineStr">
        <is>
          <t>article_locate</t>
        </is>
      </c>
      <c r="F720" s="2" t="inlineStr">
        <is>
          <t>「자본시장과 금융투자업에 관한 법률」에서 '감사위원회'를 규정한 조문은 몇 조인가?</t>
        </is>
      </c>
      <c r="G720" s="2" t="inlineStr">
        <is>
          <t>span</t>
        </is>
      </c>
      <c r="H720" s="2" t="inlineStr">
        <is>
          <t>제384조</t>
        </is>
      </c>
      <c r="I720" s="2" t="inlineStr"/>
      <c r="J720" s="2" t="inlineStr">
        <is>
          <t>국가법령정보센터 Open API (www.law.go.kr) — 자본시장과 금융투자업에 관한 법률 (시행 20260203)</t>
        </is>
      </c>
      <c r="K720" s="2" t="inlineStr">
        <is>
          <t>제384조</t>
        </is>
      </c>
      <c r="L720" s="2" t="inlineStr">
        <is>
          <t>제384조(감사위원회)
① 거래소에 감사위원회를 설치하여야 한다.
② 감사위원회는 다음 각 호의 요건을 모두 충족하여야 한다. 
1. 총 위원의 3분의 2 이상이 사외이사일 것
2. 위원 중 1명 이상은 대통령령으로 정하는 회계 또는 재무전문가일 것
3. 감사위원회의 대표는 사외이사일 것
③ 다음 각 호의 어느 하나에 해당하는 사람은 사외이사가 아닌 감사위</t>
        </is>
      </c>
    </row>
    <row r="721">
      <c r="A721" s="2" t="inlineStr">
        <is>
          <t>REG-0720</t>
        </is>
      </c>
      <c r="B721" s="2" t="inlineStr">
        <is>
          <t>규정형</t>
        </is>
      </c>
      <c r="C721" s="2" t="inlineStr">
        <is>
          <t>펀드</t>
        </is>
      </c>
      <c r="D721" s="2" t="inlineStr">
        <is>
          <t>자본시장과 금융투자업에 관한 법률</t>
        </is>
      </c>
      <c r="E721" s="2" t="inlineStr">
        <is>
          <t>article_locate</t>
        </is>
      </c>
      <c r="F721" s="2" t="inlineStr">
        <is>
          <t>'거래소 규정의 승인' 조항은 「자본시장과 금융투자업에 관한 법률」의 몇 조에 있는가?</t>
        </is>
      </c>
      <c r="G721" s="2" t="inlineStr">
        <is>
          <t>span</t>
        </is>
      </c>
      <c r="H721" s="2" t="inlineStr">
        <is>
          <t>제412조</t>
        </is>
      </c>
      <c r="I721" s="2" t="inlineStr"/>
      <c r="J721" s="2" t="inlineStr">
        <is>
          <t>국가법령정보센터 Open API (www.law.go.kr) — 자본시장과 금융투자업에 관한 법률 (시행 20260203)</t>
        </is>
      </c>
      <c r="K721" s="2" t="inlineStr">
        <is>
          <t>제412조</t>
        </is>
      </c>
      <c r="L721" s="2" t="inlineStr">
        <is>
          <t xml:space="preserve">제412조(거래소 규정의 승인)
① 거래소는 회원관리규정ㆍ증권시장업무규정ㆍ파생상품시장업무규정ㆍ상장규정ㆍ공시규정ㆍ시장감시규정ㆍ분쟁조정규정, 그 밖의 업무에 관한 규정을 제정ㆍ변경하거나 폐지하고자 하는 경우에는 금융위원회의 승인을 받아야 한다. 
② 삭제 </t>
        </is>
      </c>
    </row>
    <row r="722">
      <c r="A722" s="2" t="inlineStr">
        <is>
          <t>REG-0721</t>
        </is>
      </c>
      <c r="B722" s="2" t="inlineStr">
        <is>
          <t>규정형</t>
        </is>
      </c>
      <c r="C722" s="2" t="inlineStr">
        <is>
          <t>펀드</t>
        </is>
      </c>
      <c r="D722" s="2" t="inlineStr">
        <is>
          <t>자본시장과 금융투자업에 관한 법률</t>
        </is>
      </c>
      <c r="E722" s="2" t="inlineStr">
        <is>
          <t>article_locate</t>
        </is>
      </c>
      <c r="F722" s="2" t="inlineStr">
        <is>
          <t>「자본시장과 금융투자업에 관한 법률」에서 '거래소가 발행한 증권의 상장 및 상장폐지의 승인'을 규정한 조문은 몇 조인가?</t>
        </is>
      </c>
      <c r="G722" s="2" t="inlineStr">
        <is>
          <t>span</t>
        </is>
      </c>
      <c r="H722" s="2" t="inlineStr">
        <is>
          <t>제409조</t>
        </is>
      </c>
      <c r="I722" s="2" t="inlineStr"/>
      <c r="J722" s="2" t="inlineStr">
        <is>
          <t>국가법령정보센터 Open API (www.law.go.kr) — 자본시장과 금융투자업에 관한 법률 (시행 20260203)</t>
        </is>
      </c>
      <c r="K722" s="2" t="inlineStr">
        <is>
          <t>제409조</t>
        </is>
      </c>
      <c r="L722" s="2" t="inlineStr">
        <is>
          <t xml:space="preserve">제409조(거래소가 발행한 증권의 상장 및 상장폐지의 승인)
① 거래소는 자기가 발행한 증권을 상장하거나 상장을 폐지하고자 하는 경우에는 금융위원회의 승인을 받아야 한다. 
② 거래소는 제1항에 따라 상장한 경우에는 이상거래의 심리, 회원의 감리, 수시공시, 그 밖의 상장관리 등을 자체적으로 수행하고 그 결과를 금융위원회에 보고하여야 한다. </t>
        </is>
      </c>
    </row>
    <row r="723">
      <c r="A723" s="2" t="inlineStr">
        <is>
          <t>REG-0722</t>
        </is>
      </c>
      <c r="B723" s="2" t="inlineStr">
        <is>
          <t>규정형</t>
        </is>
      </c>
      <c r="C723" s="2" t="inlineStr">
        <is>
          <t>펀드</t>
        </is>
      </c>
      <c r="D723" s="2" t="inlineStr">
        <is>
          <t>자본시장과 금융투자업에 관한 법률</t>
        </is>
      </c>
      <c r="E723" s="2" t="inlineStr">
        <is>
          <t>article_locate</t>
        </is>
      </c>
      <c r="F723" s="2" t="inlineStr">
        <is>
          <t>「자본시장과 금융투자업에 관한 법률」에서 '거래소에 대한 조치' 관련 규정은 제 몇 조인가?</t>
        </is>
      </c>
      <c r="G723" s="2" t="inlineStr">
        <is>
          <t>span</t>
        </is>
      </c>
      <c r="H723" s="2" t="inlineStr">
        <is>
          <t>제411조</t>
        </is>
      </c>
      <c r="I723" s="2" t="inlineStr"/>
      <c r="J723" s="2" t="inlineStr">
        <is>
          <t>국가법령정보센터 Open API (www.law.go.kr) — 자본시장과 금융투자업에 관한 법률 (시행 20260203)</t>
        </is>
      </c>
      <c r="K723" s="2" t="inlineStr">
        <is>
          <t>제411조</t>
        </is>
      </c>
      <c r="L723" s="2" t="inlineStr">
        <is>
          <t xml:space="preserve">제411조(거래소에 대한 조치)
① 금융위원회는 거래소가 다음 각 호의 어느 하나에 해당하는 경우에는 제373조의2제1항에 따른 거래소허가를 취소할 수 있다. 
1. 거짓, 그 밖의 부정한 방법으로 제373조의2제1항에 따른 허가를 받은 경우
2. 허가조건을 위반한 경우
3. 제373조의5에 따른 허가요건 유지의무를 위반한 경우
4. 업무의 정지기간 중에 </t>
        </is>
      </c>
    </row>
    <row r="724">
      <c r="A724" s="2" t="inlineStr">
        <is>
          <t>REG-0723</t>
        </is>
      </c>
      <c r="B724" s="2" t="inlineStr">
        <is>
          <t>규정형</t>
        </is>
      </c>
      <c r="C724" s="2" t="inlineStr">
        <is>
          <t>펀드</t>
        </is>
      </c>
      <c r="D724" s="2" t="inlineStr">
        <is>
          <t>자본시장과 금융투자업에 관한 법률</t>
        </is>
      </c>
      <c r="E724" s="2" t="inlineStr">
        <is>
          <t>article_locate</t>
        </is>
      </c>
      <c r="F724" s="2" t="inlineStr">
        <is>
          <t>「자본시장과 금융투자업에 관한 법률」에서 '거래소에 의한 채무이행 등'을 규정한 조문은 몇 조인가?</t>
        </is>
      </c>
      <c r="G724" s="2" t="inlineStr">
        <is>
          <t>span</t>
        </is>
      </c>
      <c r="H724" s="2" t="inlineStr">
        <is>
          <t>제398조</t>
        </is>
      </c>
      <c r="I724" s="2" t="inlineStr"/>
      <c r="J724" s="2" t="inlineStr">
        <is>
          <t>국가법령정보센터 Open API (www.law.go.kr) — 자본시장과 금융투자업에 관한 법률 (시행 20260203)</t>
        </is>
      </c>
      <c r="K724" s="2" t="inlineStr">
        <is>
          <t>제398조</t>
        </is>
      </c>
      <c r="L724" s="2" t="inlineStr">
        <is>
          <t>제398조(거래소에 의한 채무이행 등)
① 거래소는 증권시장 및 파생상품시장에서의 매매거래를 원활하게 하기 위하여 증권시장업무규정 및 파생상품시장업무규정이 정하는 바에 따라 회원을 대신하여 그 회원의 증권시장 또는 파생상품시장에서의 매매거래에 의한 채권ㆍ채무에 대하여 그 채권을 행사 또는 취득하거나 그 채무를 이행 또는 인수할 수 있다.
② 제1항의 채무의</t>
        </is>
      </c>
    </row>
    <row r="725">
      <c r="A725" s="2" t="inlineStr">
        <is>
          <t>REG-0724</t>
        </is>
      </c>
      <c r="B725" s="2" t="inlineStr">
        <is>
          <t>규정형</t>
        </is>
      </c>
      <c r="C725" s="2" t="inlineStr">
        <is>
          <t>펀드</t>
        </is>
      </c>
      <c r="D725" s="2" t="inlineStr">
        <is>
          <t>자본시장과 금융투자업에 관한 법률</t>
        </is>
      </c>
      <c r="E725" s="2" t="inlineStr">
        <is>
          <t>article_locate</t>
        </is>
      </c>
      <c r="F725" s="2" t="inlineStr">
        <is>
          <t>'거래소의 손해배상책임' 조항은 「자본시장과 금융투자업에 관한 법률」의 몇 조에 있는가?</t>
        </is>
      </c>
      <c r="G725" s="2" t="inlineStr">
        <is>
          <t>span</t>
        </is>
      </c>
      <c r="H725" s="2" t="inlineStr">
        <is>
          <t>제399조</t>
        </is>
      </c>
      <c r="I725" s="2" t="inlineStr"/>
      <c r="J725" s="2" t="inlineStr">
        <is>
          <t>국가법령정보센터 Open API (www.law.go.kr) — 자본시장과 금융투자업에 관한 법률 (시행 20260203)</t>
        </is>
      </c>
      <c r="K725" s="2" t="inlineStr">
        <is>
          <t>제399조</t>
        </is>
      </c>
      <c r="L725" s="2" t="inlineStr">
        <is>
          <t xml:space="preserve">제399조(거래소의 손해배상책임)
① 거래소는 회원의 증권시장 또는 파생상품시장에서의 매매거래의 위약(違約)으로 인하여 발생하는 손해에 관하여 배상의 책임을 진다.
② 거래소가 제1항에 따라 손해를 배상하는 경우에는 대통령령으로 정하는 바에 따라 거래소의 재산과 제394조에 따라 적립된 공동기금에서 충당한다. 
③ 거래소는 제1항 및 제2항에 따라 손해를 </t>
        </is>
      </c>
    </row>
    <row r="726">
      <c r="A726" s="2" t="inlineStr">
        <is>
          <t>REG-0725</t>
        </is>
      </c>
      <c r="B726" s="2" t="inlineStr">
        <is>
          <t>규정형</t>
        </is>
      </c>
      <c r="C726" s="2" t="inlineStr">
        <is>
          <t>펀드</t>
        </is>
      </c>
      <c r="D726" s="2" t="inlineStr">
        <is>
          <t>자본시장과 금융투자업에 관한 법률</t>
        </is>
      </c>
      <c r="E726" s="2" t="inlineStr">
        <is>
          <t>article_locate</t>
        </is>
      </c>
      <c r="F726" s="2" t="inlineStr">
        <is>
          <t>「자본시장과 금융투자업에 관한 법률」의 어느 조문이 '거래소의 허가'를 다루는가?</t>
        </is>
      </c>
      <c r="G726" s="2" t="inlineStr">
        <is>
          <t>span</t>
        </is>
      </c>
      <c r="H726" s="2" t="inlineStr">
        <is>
          <t>제373조의2</t>
        </is>
      </c>
      <c r="I726" s="2" t="inlineStr"/>
      <c r="J726" s="2" t="inlineStr">
        <is>
          <t>국가법령정보센터 Open API (www.law.go.kr) — 자본시장과 금융투자업에 관한 법률 (시행 20260203)</t>
        </is>
      </c>
      <c r="K726" s="2" t="inlineStr">
        <is>
          <t>제373조의2</t>
        </is>
      </c>
      <c r="L726" s="2" t="inlineStr">
        <is>
          <t>제373조의2(거래소의 허가)
① 금융투자상품시장을 개설하거나 운영하려는 자는 다음 각 호의 사항을 구성요소로 하여 대통령령으로 정하는 시장개설 단위의 전부나 일부를 선택하여 금융위원회로부터 하나의 거래소허가를 받아야 한다.
1. 매매의 대상이 되는 금융투자상품의 범위(증권 및 장내파생상품을 말하되, 증권 중 주권, 그 밖에 대통령령으로 정하는 것을 포함한</t>
        </is>
      </c>
    </row>
    <row r="727">
      <c r="A727" s="2" t="inlineStr">
        <is>
          <t>REG-0726</t>
        </is>
      </c>
      <c r="B727" s="2" t="inlineStr">
        <is>
          <t>규정형</t>
        </is>
      </c>
      <c r="C727" s="2" t="inlineStr">
        <is>
          <t>펀드</t>
        </is>
      </c>
      <c r="D727" s="2" t="inlineStr">
        <is>
          <t>자본시장과 금융투자업에 관한 법률</t>
        </is>
      </c>
      <c r="E727" s="2" t="inlineStr">
        <is>
          <t>article_locate</t>
        </is>
      </c>
      <c r="F727" s="2" t="inlineStr">
        <is>
          <t>「자본시장과 금융투자업에 관한 법률」에서 '거래의 제한'을 규정한 조문은 몇 조인가?</t>
        </is>
      </c>
      <c r="G727" s="2" t="inlineStr">
        <is>
          <t>span</t>
        </is>
      </c>
      <c r="H727" s="2" t="inlineStr">
        <is>
          <t>제121조</t>
        </is>
      </c>
      <c r="I727" s="2" t="inlineStr"/>
      <c r="J727" s="2" t="inlineStr">
        <is>
          <t>국가법령정보센터 Open API (www.law.go.kr) — 자본시장과 금융투자업에 관한 법률 (시행 20260203)</t>
        </is>
      </c>
      <c r="K727" s="2" t="inlineStr">
        <is>
          <t>제121조</t>
        </is>
      </c>
      <c r="L727" s="2" t="inlineStr">
        <is>
          <t>제121조(거래의 제한)
① 제120조에 따른 신고의 효력이 발생하지 아니한 증권의 취득 또는 매수의 청약이 있는 경우에 그 증권의 발행인ㆍ매출인과 그 대리인은 그 청약의 승낙을 하여서는 아니 된다.
② 제119조제2항에 따라 일괄신고추가서류를 제출하여야 하는 경우 그 일괄신고추가서류가 제출되지 아니하면 그 증권의 발행인ㆍ매출인과 그 대리인은 그 증권에 관</t>
        </is>
      </c>
    </row>
    <row r="728">
      <c r="A728" s="2" t="inlineStr">
        <is>
          <t>REG-0727</t>
        </is>
      </c>
      <c r="B728" s="2" t="inlineStr">
        <is>
          <t>규정형</t>
        </is>
      </c>
      <c r="C728" s="2" t="inlineStr">
        <is>
          <t>펀드</t>
        </is>
      </c>
      <c r="D728" s="2" t="inlineStr">
        <is>
          <t>자본시장과 금융투자업에 관한 법률</t>
        </is>
      </c>
      <c r="E728" s="2" t="inlineStr">
        <is>
          <t>article_locate</t>
        </is>
      </c>
      <c r="F728" s="2" t="inlineStr">
        <is>
          <t>'거래의 종결' 조항은 「자본시장과 금융투자업에 관한 법률」의 몇 조에 있는가?</t>
        </is>
      </c>
      <c r="G728" s="2" t="inlineStr">
        <is>
          <t>span</t>
        </is>
      </c>
      <c r="H728" s="2" t="inlineStr">
        <is>
          <t>제389조</t>
        </is>
      </c>
      <c r="I728" s="2" t="inlineStr"/>
      <c r="J728" s="2" t="inlineStr">
        <is>
          <t>국가법령정보센터 Open API (www.law.go.kr) — 자본시장과 금융투자업에 관한 법률 (시행 20260203)</t>
        </is>
      </c>
      <c r="K728" s="2" t="inlineStr">
        <is>
          <t>제389조</t>
        </is>
      </c>
      <c r="L728" s="2" t="inlineStr">
        <is>
          <t>제389조(거래의 종결)
① 거래소는 회원이 거래의 정지를 당하거나 그 자격을 상실한 경우에는 그 회원 또는 다른 회원으로 하여금 해당 증권시장 또는 파생상품시장에서 행한 매매거래를 종결시켜야 한다. 이 경우 자격을 상실한 회원은 매매거래를 종결시키는 범위에서 회원의 자격을 가진 것으로 본다.
② 제1항에 따라 거래소가 다른 회원으로 하여금 해당 매매거래를</t>
        </is>
      </c>
    </row>
    <row r="729">
      <c r="A729" s="2" t="inlineStr">
        <is>
          <t>REG-0728</t>
        </is>
      </c>
      <c r="B729" s="2" t="inlineStr">
        <is>
          <t>규정형</t>
        </is>
      </c>
      <c r="C729" s="2" t="inlineStr">
        <is>
          <t>펀드</t>
        </is>
      </c>
      <c r="D729" s="2" t="inlineStr">
        <is>
          <t>자본시장과 금융투자업에 관한 법률</t>
        </is>
      </c>
      <c r="E729" s="2" t="inlineStr">
        <is>
          <t>article_locate</t>
        </is>
      </c>
      <c r="F729" s="2" t="inlineStr">
        <is>
          <t>「자본시장과 금융투자업에 관한 법률」의 어느 조문이 '거래증거금과 회원보증금의 채무변제에의 충당'을 다루는가?</t>
        </is>
      </c>
      <c r="G729" s="2" t="inlineStr">
        <is>
          <t>span</t>
        </is>
      </c>
      <c r="H729" s="2" t="inlineStr">
        <is>
          <t>제397조</t>
        </is>
      </c>
      <c r="I729" s="2" t="inlineStr"/>
      <c r="J729" s="2" t="inlineStr">
        <is>
          <t>국가법령정보센터 Open API (www.law.go.kr) — 자본시장과 금융투자업에 관한 법률 (시행 20260203)</t>
        </is>
      </c>
      <c r="K729" s="2" t="inlineStr">
        <is>
          <t>제397조</t>
        </is>
      </c>
      <c r="L729" s="2" t="inlineStr">
        <is>
          <t>제397조(거래증거금과 회원보증금의 채무변제에의 충당) 거래소는 회원이 거래소 또는 다른 회원에 대하여 증권시장 또는 파생상품시장에서의 매매거래에 관한 채무를 이행하지 아니한 경우에는 그 회원의 거래증거금과 회원보증금으로 그 채무의 변제에 충당할 수 있다.</t>
        </is>
      </c>
    </row>
    <row r="730">
      <c r="A730" s="2" t="inlineStr">
        <is>
          <t>REG-0729</t>
        </is>
      </c>
      <c r="B730" s="2" t="inlineStr">
        <is>
          <t>규정형</t>
        </is>
      </c>
      <c r="C730" s="2" t="inlineStr">
        <is>
          <t>펀드</t>
        </is>
      </c>
      <c r="D730" s="2" t="inlineStr">
        <is>
          <t>자본시장과 금융투자업에 관한 법률</t>
        </is>
      </c>
      <c r="E730" s="2" t="inlineStr">
        <is>
          <t>article_locate</t>
        </is>
      </c>
      <c r="F730" s="2" t="inlineStr">
        <is>
          <t>「자본시장과 금융투자업에 관한 법률」의 어느 조문이 '거짓의 기재 등에 의한 배상책임'을 다루는가?</t>
        </is>
      </c>
      <c r="G730" s="2" t="inlineStr">
        <is>
          <t>span</t>
        </is>
      </c>
      <c r="H730" s="2" t="inlineStr">
        <is>
          <t>제162조</t>
        </is>
      </c>
      <c r="I730" s="2" t="inlineStr"/>
      <c r="J730" s="2" t="inlineStr">
        <is>
          <t>국가법령정보센터 Open API (www.law.go.kr) — 자본시장과 금융투자업에 관한 법률 (시행 20260203)</t>
        </is>
      </c>
      <c r="K730" s="2" t="inlineStr">
        <is>
          <t>제162조</t>
        </is>
      </c>
      <c r="L730" s="2" t="inlineStr">
        <is>
          <t>제162조(거짓의 기재 등에 의한 배상책임)
① 사업보고서등과 그 첨부서류(회계감사인의 감사보고서는 제외한다) 중 중요사항에 관하여 거짓의 기재 또는 표시가 있거나 중요사항이 기재 또는 표시되지 아니함으로써 사업보고서 제출대상법인이 발행한 증권(그 증권과 관련된 증권예탁증권, 그 밖에 대통령령으로 정하는 증권을 포함한다. 이하 이 조에서 같다)의 취득자 또</t>
        </is>
      </c>
    </row>
    <row r="731">
      <c r="A731" s="2" t="inlineStr">
        <is>
          <t>REG-0730</t>
        </is>
      </c>
      <c r="B731" s="2" t="inlineStr">
        <is>
          <t>규정형</t>
        </is>
      </c>
      <c r="C731" s="2" t="inlineStr">
        <is>
          <t>펀드</t>
        </is>
      </c>
      <c r="D731" s="2" t="inlineStr">
        <is>
          <t>자본시장과 금융투자업에 관한 법률</t>
        </is>
      </c>
      <c r="E731" s="2" t="inlineStr">
        <is>
          <t>article_locate</t>
        </is>
      </c>
      <c r="F731" s="2" t="inlineStr">
        <is>
          <t>「자본시장과 금융투자업에 관한 법률」에서 '거짓의 기재 등으로 인한 배상책임' 관련 규정은 제 몇 조인가?</t>
        </is>
      </c>
      <c r="G731" s="2" t="inlineStr">
        <is>
          <t>span</t>
        </is>
      </c>
      <c r="H731" s="2" t="inlineStr">
        <is>
          <t>제125조</t>
        </is>
      </c>
      <c r="I731" s="2" t="inlineStr"/>
      <c r="J731" s="2" t="inlineStr">
        <is>
          <t>국가법령정보센터 Open API (www.law.go.kr) — 자본시장과 금융투자업에 관한 법률 (시행 20260203)</t>
        </is>
      </c>
      <c r="K731" s="2" t="inlineStr">
        <is>
          <t>제125조</t>
        </is>
      </c>
      <c r="L731" s="2" t="inlineStr">
        <is>
          <t xml:space="preserve">제125조(거짓의 기재 등으로 인한 배상책임)
① 증권신고서(정정신고서 및 첨부서류를 포함한다. 이하 이 조에서 같다)와 투자설명서(예비투자설명서 및 간이투자설명서를 포함한다. 이하 이 조에서 같다) 중 중요사항에 관하여 거짓의 기재 또는 표시가 있거나 중요사항이 기재 또는 표시되지 아니함으로써 증권의 취득자가 손해를 입은 경우에는 다음 각 호의 자는 그 </t>
        </is>
      </c>
    </row>
    <row r="732">
      <c r="A732" s="2" t="inlineStr">
        <is>
          <t>REG-0731</t>
        </is>
      </c>
      <c r="B732" s="2" t="inlineStr">
        <is>
          <t>규정형</t>
        </is>
      </c>
      <c r="C732" s="2" t="inlineStr">
        <is>
          <t>펀드</t>
        </is>
      </c>
      <c r="D732" s="2" t="inlineStr">
        <is>
          <t>자본시장과 금융투자업에 관한 법률</t>
        </is>
      </c>
      <c r="E732" s="2" t="inlineStr">
        <is>
          <t>article_locate</t>
        </is>
      </c>
      <c r="F732" s="2" t="inlineStr">
        <is>
          <t>'검사 및 처분' 조항은 「자본시장과 금융투자업에 관한 법률」의 몇 조에 있는가?</t>
        </is>
      </c>
      <c r="G732" s="2" t="inlineStr">
        <is>
          <t>span</t>
        </is>
      </c>
      <c r="H732" s="2" t="inlineStr">
        <is>
          <t>제43조</t>
        </is>
      </c>
      <c r="I732" s="2" t="inlineStr"/>
      <c r="J732" s="2" t="inlineStr">
        <is>
          <t>국가법령정보센터 Open API (www.law.go.kr) — 자본시장과 금융투자업에 관한 법률 (시행 20260203)</t>
        </is>
      </c>
      <c r="K732" s="2" t="inlineStr">
        <is>
          <t>제43조</t>
        </is>
      </c>
      <c r="L732" s="2" t="inlineStr">
        <is>
          <t>제43조(검사 및 처분)
① 제42조제1항에 따라 업무를 위탁받은 자는 그 위탁받은 업무와 관련하여 그 업무와 재산상황에 관하여 「금융위원회의 설치 등에 관한 법률」에 따라 설립된 금융감독원(이하 "금융감독원"이라 한다)의 원장(이하 "금융감독원장"이라 한다)의 검사를 받아야 한다. 이 경우 제419조제5항부터 제7항까지 및 제9항을 준용한다. 
② 금융위</t>
        </is>
      </c>
    </row>
    <row r="733">
      <c r="A733" s="2" t="inlineStr">
        <is>
          <t>REG-0732</t>
        </is>
      </c>
      <c r="B733" s="2" t="inlineStr">
        <is>
          <t>규정형</t>
        </is>
      </c>
      <c r="C733" s="2" t="inlineStr">
        <is>
          <t>펀드</t>
        </is>
      </c>
      <c r="D733" s="2" t="inlineStr">
        <is>
          <t>자본시장과 금융투자업에 관한 법률</t>
        </is>
      </c>
      <c r="E733" s="2" t="inlineStr">
        <is>
          <t>article_locate</t>
        </is>
      </c>
      <c r="F733" s="2" t="inlineStr">
        <is>
          <t>'게재 내용의 사실확인' 조항은 「자본시장과 금융투자업에 관한 법률」의 몇 조에 있는가?</t>
        </is>
      </c>
      <c r="G733" s="2" t="inlineStr">
        <is>
          <t>span</t>
        </is>
      </c>
      <c r="H733" s="2" t="inlineStr">
        <is>
          <t>제117조의11</t>
        </is>
      </c>
      <c r="I733" s="2" t="inlineStr"/>
      <c r="J733" s="2" t="inlineStr">
        <is>
          <t>국가법령정보센터 Open API (www.law.go.kr) — 자본시장과 금융투자업에 관한 법률 (시행 20260203)</t>
        </is>
      </c>
      <c r="K733" s="2" t="inlineStr">
        <is>
          <t>제117조의11</t>
        </is>
      </c>
      <c r="L733" s="2" t="inlineStr">
        <is>
          <t>제117조의11(게재 내용의 사실확인)
① 온라인소액투자중개업자는 온라인소액투자중개 전에 해당 온라인소액증권발행인에 관한 다음 각 호의 사항에 관한 사실을 확인하여야 한다.
1. 온라인소액증권발행인의 재무상황
2. 온라인소액증권발행인의 사업계획이 투자자 보호를 위하여 대통령령으로 정하는 항목을 포함하였는지 여부
3. 온라인소액증권발행인의 대표자 및 경영진의</t>
        </is>
      </c>
    </row>
    <row r="734">
      <c r="A734" s="2" t="inlineStr">
        <is>
          <t>REG-0733</t>
        </is>
      </c>
      <c r="B734" s="2" t="inlineStr">
        <is>
          <t>규정형</t>
        </is>
      </c>
      <c r="C734" s="2" t="inlineStr">
        <is>
          <t>펀드</t>
        </is>
      </c>
      <c r="D734" s="2" t="inlineStr">
        <is>
          <t>자본시장과 금융투자업에 관한 법률</t>
        </is>
      </c>
      <c r="E734" s="2" t="inlineStr">
        <is>
          <t>article_locate</t>
        </is>
      </c>
      <c r="F734" s="2" t="inlineStr">
        <is>
          <t>'결산서류의 작성 등' 조항은 「자본시장과 금융투자업에 관한 법률」의 몇 조에 있는가?</t>
        </is>
      </c>
      <c r="G734" s="2" t="inlineStr">
        <is>
          <t>span</t>
        </is>
      </c>
      <c r="H734" s="2" t="inlineStr">
        <is>
          <t>제239조</t>
        </is>
      </c>
      <c r="I734" s="2" t="inlineStr"/>
      <c r="J734" s="2" t="inlineStr">
        <is>
          <t>국가법령정보센터 Open API (www.law.go.kr) — 자본시장과 금융투자업에 관한 법률 (시행 20260203)</t>
        </is>
      </c>
      <c r="K734" s="2" t="inlineStr">
        <is>
          <t>제239조</t>
        </is>
      </c>
      <c r="L734" s="2" t="inlineStr">
        <is>
          <t xml:space="preserve">제239조(결산서류의 작성 등)
① 투자신탁이나 투자익명조합의 집합투자업자 또는 투자회사등은 집합투자기구의 결산기마다 다음 각 호의 서류 및 부속명세서(이하 이 조에서 "결산서류"라 한다)를 작성하여야 한다. 
1. 재무상태표
2. 손익계산서
3. 제88조에 따른 자산운용보고서
② 투자회사의 법인이사는 결산서류의 승인을 위하여 이사회 개최 1주 전까지 그 </t>
        </is>
      </c>
    </row>
    <row r="735">
      <c r="A735" s="2" t="inlineStr">
        <is>
          <t>REG-0734</t>
        </is>
      </c>
      <c r="B735" s="2" t="inlineStr">
        <is>
          <t>규정형</t>
        </is>
      </c>
      <c r="C735" s="2" t="inlineStr">
        <is>
          <t>펀드</t>
        </is>
      </c>
      <c r="D735" s="2" t="inlineStr">
        <is>
          <t>자본시장과 금융투자업에 관한 법률</t>
        </is>
      </c>
      <c r="E735" s="2" t="inlineStr">
        <is>
          <t>article_locate</t>
        </is>
      </c>
      <c r="F735" s="2" t="inlineStr">
        <is>
          <t>「자본시장과 금융투자업에 관한 법률」에서 '결손처분' 관련 규정은 제 몇 조인가?</t>
        </is>
      </c>
      <c r="G735" s="2" t="inlineStr">
        <is>
          <t>span</t>
        </is>
      </c>
      <c r="H735" s="2" t="inlineStr">
        <is>
          <t>제434조의4</t>
        </is>
      </c>
      <c r="I735" s="2" t="inlineStr"/>
      <c r="J735" s="2" t="inlineStr">
        <is>
          <t>국가법령정보센터 Open API (www.law.go.kr) — 자본시장과 금융투자업에 관한 법률 (시행 20260203)</t>
        </is>
      </c>
      <c r="K735" s="2" t="inlineStr">
        <is>
          <t>제434조의4</t>
        </is>
      </c>
      <c r="L735" s="2" t="inlineStr">
        <is>
          <t>제434조의4(결손처분) 금융위원회는 과징금 납부의무자에게 다음 각 호의 어느 하나에 해당하는 사유가 있으면 결손처분을 할 수 있다. 
1. 체납처분이 끝나고 체납액에 충당된 배분금액이 체납액에 미치지 못하는 경우
2. 징수금 등의 징수권에 대한 소멸시효가 완성된 경우
3. 체납자의 행방이 분명하지 아니하거나 재산이 없다는 것이 판명된 경우
4. 체납처분의</t>
        </is>
      </c>
    </row>
    <row r="736">
      <c r="A736" s="2" t="inlineStr">
        <is>
          <t>REG-0735</t>
        </is>
      </c>
      <c r="B736" s="2" t="inlineStr">
        <is>
          <t>규정형</t>
        </is>
      </c>
      <c r="C736" s="2" t="inlineStr">
        <is>
          <t>펀드</t>
        </is>
      </c>
      <c r="D736" s="2" t="inlineStr">
        <is>
          <t>자본시장과 금융투자업에 관한 법률</t>
        </is>
      </c>
      <c r="E736" s="2" t="inlineStr">
        <is>
          <t>article_locate</t>
        </is>
      </c>
      <c r="F736" s="2" t="inlineStr">
        <is>
          <t>「자본시장과 금융투자업에 관한 법률」에서 '결제업무규정'을 규정한 조문은 몇 조인가?</t>
        </is>
      </c>
      <c r="G736" s="2" t="inlineStr">
        <is>
          <t>span</t>
        </is>
      </c>
      <c r="H736" s="2" t="inlineStr">
        <is>
          <t>제303조</t>
        </is>
      </c>
      <c r="I736" s="2" t="inlineStr"/>
      <c r="J736" s="2" t="inlineStr">
        <is>
          <t>국가법령정보센터 Open API (www.law.go.kr) — 자본시장과 금융투자업에 관한 법률 (시행 20260203)</t>
        </is>
      </c>
      <c r="K736" s="2" t="inlineStr">
        <is>
          <t>제303조</t>
        </is>
      </c>
      <c r="L736" s="2" t="inlineStr">
        <is>
          <t xml:space="preserve">제303조(결제업무규정)
① 예탁결제원 및 전자등록기관은 증권등의 매매거래에 따른 결제업무의 수행을 위하여 결제업무규정을 정하여야 한다. 이 경우 결제업무규정은 제323조의11의 청산업무규정, 제387조의 회원관리규정 및 제393조의 업무규정과 상충되어서는 아니 된다. 
② 제1항의 결제업무규정에는 다음 각 호의 사항이 포함되어야 한다. 
1. 예탁결제원 </t>
        </is>
      </c>
    </row>
    <row r="737">
      <c r="A737" s="2" t="inlineStr">
        <is>
          <t>REG-0736</t>
        </is>
      </c>
      <c r="B737" s="2" t="inlineStr">
        <is>
          <t>규정형</t>
        </is>
      </c>
      <c r="C737" s="2" t="inlineStr">
        <is>
          <t>펀드</t>
        </is>
      </c>
      <c r="D737" s="2" t="inlineStr">
        <is>
          <t>자본시장과 금융투자업에 관한 법률</t>
        </is>
      </c>
      <c r="E737" s="2" t="inlineStr">
        <is>
          <t>article_locate</t>
        </is>
      </c>
      <c r="F737" s="2" t="inlineStr">
        <is>
          <t>'겸영업무 및 부수업무' 조항은 「자본시장과 금융투자업에 관한 법률」의 몇 조에 있는가?</t>
        </is>
      </c>
      <c r="G737" s="2" t="inlineStr">
        <is>
          <t>span</t>
        </is>
      </c>
      <c r="H737" s="2" t="inlineStr">
        <is>
          <t>제335조의10</t>
        </is>
      </c>
      <c r="I737" s="2" t="inlineStr"/>
      <c r="J737" s="2" t="inlineStr">
        <is>
          <t>국가법령정보센터 Open API (www.law.go.kr) — 자본시장과 금융투자업에 관한 법률 (시행 20260203)</t>
        </is>
      </c>
      <c r="K737" s="2" t="inlineStr">
        <is>
          <t>제335조의10</t>
        </is>
      </c>
      <c r="L737" s="2" t="inlineStr">
        <is>
          <t>제335조의10(겸영업무 및 부수업무)
① 신용평가회사는 투자자 보호 및 건전한 거래질서를 해할 우려가 없는 업무로서 다음 각 호의 업무를 겸영할 수 있다.
1. 제263조에 따른 채권평가회사의 업무
2. 그 밖에 대통령령으로 정하는 업무
② 신용평가회사는 다음 각 호의 어느 하나에 해당하는 업무를 포함하여 신용평가업에 부수하는 업무를 영위할 수 있다.
1</t>
        </is>
      </c>
    </row>
    <row r="738">
      <c r="A738" s="2" t="inlineStr">
        <is>
          <t>REG-0737</t>
        </is>
      </c>
      <c r="B738" s="2" t="inlineStr">
        <is>
          <t>규정형</t>
        </is>
      </c>
      <c r="C738" s="2" t="inlineStr">
        <is>
          <t>펀드</t>
        </is>
      </c>
      <c r="D738" s="2" t="inlineStr">
        <is>
          <t>자본시장과 금융투자업에 관한 법률</t>
        </is>
      </c>
      <c r="E738" s="2" t="inlineStr">
        <is>
          <t>article_locate</t>
        </is>
      </c>
      <c r="F738" s="2" t="inlineStr">
        <is>
          <t>「자본시장과 금융투자업에 관한 법률」의 어느 조문이 '경영건전성기준'을 다루는가?</t>
        </is>
      </c>
      <c r="G738" s="2" t="inlineStr">
        <is>
          <t>span</t>
        </is>
      </c>
      <c r="H738" s="2" t="inlineStr">
        <is>
          <t>제31조</t>
        </is>
      </c>
      <c r="I738" s="2" t="inlineStr"/>
      <c r="J738" s="2" t="inlineStr">
        <is>
          <t>국가법령정보센터 Open API (www.law.go.kr) — 자본시장과 금융투자업에 관한 법률 (시행 20260203)</t>
        </is>
      </c>
      <c r="K738" s="2" t="inlineStr">
        <is>
          <t>제31조</t>
        </is>
      </c>
      <c r="L738" s="2" t="inlineStr">
        <is>
          <t>제31조(경영건전성기준)
① 금융투자업자(겸영금융투자업자를 제외한다. 이하 이 절에서 같다)는 경영의 건전성을 유지하기 위하여 다음 각 호의 사항에 관하여 금융위원회가 정하여 고시하는 경영건전성기준을 준수하여야 하며, 이를 위한 적절한 체계를 구축ㆍ시행하여야 한다. 
1. 자기자본비율, 그 밖의 자본의 적정성에 관한 사항
2. 자산의 건전성에 관한 사항
3</t>
        </is>
      </c>
    </row>
    <row r="739">
      <c r="A739" s="2" t="inlineStr">
        <is>
          <t>REG-0738</t>
        </is>
      </c>
      <c r="B739" s="2" t="inlineStr">
        <is>
          <t>규정형</t>
        </is>
      </c>
      <c r="C739" s="2" t="inlineStr">
        <is>
          <t>펀드</t>
        </is>
      </c>
      <c r="D739" s="2" t="inlineStr">
        <is>
          <t>자본시장과 금융투자업에 관한 법률</t>
        </is>
      </c>
      <c r="E739" s="2" t="inlineStr">
        <is>
          <t>article_locate</t>
        </is>
      </c>
      <c r="F739" s="2" t="inlineStr">
        <is>
          <t>「자본시장과 금융투자업에 관한 법률」에서 '계약의 체결' 관련 규정은 제 몇 조인가?</t>
        </is>
      </c>
      <c r="G739" s="2" t="inlineStr">
        <is>
          <t>span</t>
        </is>
      </c>
      <c r="H739" s="2" t="inlineStr">
        <is>
          <t>제97조</t>
        </is>
      </c>
      <c r="I739" s="2" t="inlineStr"/>
      <c r="J739" s="2" t="inlineStr">
        <is>
          <t>국가법령정보센터 Open API (www.law.go.kr) — 자본시장과 금융투자업에 관한 법률 (시행 20260203)</t>
        </is>
      </c>
      <c r="K739" s="2" t="inlineStr">
        <is>
          <t>제97조</t>
        </is>
      </c>
      <c r="L739" s="2" t="inlineStr">
        <is>
          <t>제97조(계약의 체결)
① 투자자문업자 또는 투자일임업자는 일반투자자와 투자자문계약 또는 투자일임계약을 체결하고자 하는 경우에는 다음 각 호의 사항을 기재한 서면자료를 미리 일반투자자에게 교부하여야 한다. 
1. 투자자문의 범위 및 제공방법 또는 투자일임의 범위 및 투자대상 금융투자상품등
2. 투자자문업 또는 투자일임업의 수행에 관하여 투자자문업자 또는 투</t>
        </is>
      </c>
    </row>
    <row r="740">
      <c r="A740" s="2" t="inlineStr">
        <is>
          <t>REG-0739</t>
        </is>
      </c>
      <c r="B740" s="2" t="inlineStr">
        <is>
          <t>규정형</t>
        </is>
      </c>
      <c r="C740" s="2" t="inlineStr">
        <is>
          <t>예금</t>
        </is>
      </c>
      <c r="D740" s="2" t="inlineStr">
        <is>
          <t>예금자보호법</t>
        </is>
      </c>
      <c r="E740" s="2" t="inlineStr">
        <is>
          <t>article_locate</t>
        </is>
      </c>
      <c r="F740" s="2" t="inlineStr">
        <is>
          <t>「예금자보호법」에서 '개산지급금 지급의 승인'을 규정한 조문은 몇 조인가?</t>
        </is>
      </c>
      <c r="G740" s="2" t="inlineStr">
        <is>
          <t>span</t>
        </is>
      </c>
      <c r="H740" s="2" t="inlineStr">
        <is>
          <t>제35조의4</t>
        </is>
      </c>
      <c r="I740" s="2" t="inlineStr"/>
      <c r="J740" s="2" t="inlineStr">
        <is>
          <t>국가법령정보센터 Open API (www.law.go.kr) — 예금자보호법 (시행 20260102)</t>
        </is>
      </c>
      <c r="K740" s="2" t="inlineStr">
        <is>
          <t>제35조의4</t>
        </is>
      </c>
      <c r="L740" s="2" t="inlineStr">
        <is>
          <t>제35조의4(개산지급금 지급의 승인) 공사는 제35조의2제2항에 따라 개산지급금을 지급하려면 제35조의3에 따른 개산지급률, 예금등 채권의 매입기간ㆍ매입방법 등을 정하여 위원회의 의결을 거쳐 금융위원회의 승인을 받아야 한다.</t>
        </is>
      </c>
    </row>
    <row r="741">
      <c r="A741" s="2" t="inlineStr">
        <is>
          <t>REG-0740</t>
        </is>
      </c>
      <c r="B741" s="2" t="inlineStr">
        <is>
          <t>규정형</t>
        </is>
      </c>
      <c r="C741" s="2" t="inlineStr">
        <is>
          <t>예금</t>
        </is>
      </c>
      <c r="D741" s="2" t="inlineStr">
        <is>
          <t>예금자보호법</t>
        </is>
      </c>
      <c r="E741" s="2" t="inlineStr">
        <is>
          <t>article_locate</t>
        </is>
      </c>
      <c r="F741" s="2" t="inlineStr">
        <is>
          <t>「예금자보호법」에서 '개산지급률' 관련 규정은 제 몇 조인가?</t>
        </is>
      </c>
      <c r="G741" s="2" t="inlineStr">
        <is>
          <t>span</t>
        </is>
      </c>
      <c r="H741" s="2" t="inlineStr">
        <is>
          <t>제35조의3</t>
        </is>
      </c>
      <c r="I741" s="2" t="inlineStr"/>
      <c r="J741" s="2" t="inlineStr">
        <is>
          <t>국가법령정보센터 Open API (www.law.go.kr) — 예금자보호법 (시행 20260102)</t>
        </is>
      </c>
      <c r="K741" s="2" t="inlineStr">
        <is>
          <t>제35조의3</t>
        </is>
      </c>
      <c r="L741" s="2" t="inlineStr">
        <is>
          <t>제35조의3(개산지급률) 공사는 제35조의2제1항에 따라 예금등 채권을 매입할 때에는 해당 부실금융회사의 재무상황에 비추어 파산절차가 진행되는 경우 그 부실금융회사와 관련된 예금등 채권에 대하여 변제받을 수 있을 것으로 예상되는 금액을 고려하여 개산지급률을 결정하여야 한다.</t>
        </is>
      </c>
    </row>
    <row r="742">
      <c r="A742" s="2" t="inlineStr">
        <is>
          <t>REG-0741</t>
        </is>
      </c>
      <c r="B742" s="2" t="inlineStr">
        <is>
          <t>규정형</t>
        </is>
      </c>
      <c r="C742" s="2" t="inlineStr">
        <is>
          <t>예금</t>
        </is>
      </c>
      <c r="D742" s="2" t="inlineStr">
        <is>
          <t>예금자보호법</t>
        </is>
      </c>
      <c r="E742" s="2" t="inlineStr">
        <is>
          <t>article_locate</t>
        </is>
      </c>
      <c r="F742" s="2" t="inlineStr">
        <is>
          <t>'경매에 관한 통지 또는 송달의 특례' 조항은 「예금자보호법」의 몇 조에 있는가?</t>
        </is>
      </c>
      <c r="G742" s="2" t="inlineStr">
        <is>
          <t>span</t>
        </is>
      </c>
      <c r="H742" s="2" t="inlineStr">
        <is>
          <t>제38조의6</t>
        </is>
      </c>
      <c r="I742" s="2" t="inlineStr"/>
      <c r="J742" s="2" t="inlineStr">
        <is>
          <t>국가법령정보센터 Open API (www.law.go.kr) — 예금자보호법 (시행 20260102)</t>
        </is>
      </c>
      <c r="K742" s="2" t="inlineStr">
        <is>
          <t>제38조의6</t>
        </is>
      </c>
      <c r="L742" s="2" t="inlineStr">
        <is>
          <t>제38조의6(경매에 관한 통지 또는 송달의 특례)
① 법원이 다음 각 호의 어느 하나에 해당하는 자의 신청에 의하여 진행하는 「민사집행법」에 따른 경매절차(담보권 실행을 위한 경매절차만 해당한다)에서의 통지 또는 송달은 경매신청 당시 해당 부동산의 등기부에 기재되어 있는 주소(「주민등록법」에 따른 주민등록표에 기재된 주소와 다른 경우에는 주민등록표에 기재된</t>
        </is>
      </c>
    </row>
    <row r="743">
      <c r="A743" s="2" t="inlineStr">
        <is>
          <t>REG-0742</t>
        </is>
      </c>
      <c r="B743" s="2" t="inlineStr">
        <is>
          <t>규정형</t>
        </is>
      </c>
      <c r="C743" s="2" t="inlineStr">
        <is>
          <t>예금</t>
        </is>
      </c>
      <c r="D743" s="2" t="inlineStr">
        <is>
          <t>예금자보호법</t>
        </is>
      </c>
      <c r="E743" s="2" t="inlineStr">
        <is>
          <t>article_locate</t>
        </is>
      </c>
      <c r="F743" s="2" t="inlineStr">
        <is>
          <t>「예금자보호법」의 어느 조문이 '계약이전 등의 요청'을 다루는가?</t>
        </is>
      </c>
      <c r="G743" s="2" t="inlineStr">
        <is>
          <t>span</t>
        </is>
      </c>
      <c r="H743" s="2" t="inlineStr">
        <is>
          <t>제36조의2</t>
        </is>
      </c>
      <c r="I743" s="2" t="inlineStr"/>
      <c r="J743" s="2" t="inlineStr">
        <is>
          <t>국가법령정보센터 Open API (www.law.go.kr) — 예금자보호법 (시행 20260102)</t>
        </is>
      </c>
      <c r="K743" s="2" t="inlineStr">
        <is>
          <t>제36조의2</t>
        </is>
      </c>
      <c r="L743" s="2" t="inlineStr">
        <is>
          <t>제36조의2(계약이전 등의 요청)
① 공사는 예금자등의 보호를 위하여 필요하다고 인정되는 경우로서 대통령령으로 정하는 기준에 해당하는 경우에는 금융위원회에 해당 부실금융회사에 대한 계약이전의 명령, 파산신청 등 필요한 조치를 할 것을 요청할 수 있다.
② 제1항에 따라 공사의 요청을 받은 금융위원회는 그 결과를 지체 없이 공사에 통보하여야 한다.</t>
        </is>
      </c>
    </row>
    <row r="744">
      <c r="A744" s="2" t="inlineStr">
        <is>
          <t>REG-0743</t>
        </is>
      </c>
      <c r="B744" s="2" t="inlineStr">
        <is>
          <t>규정형</t>
        </is>
      </c>
      <c r="C744" s="2" t="inlineStr">
        <is>
          <t>예금</t>
        </is>
      </c>
      <c r="D744" s="2" t="inlineStr">
        <is>
          <t>예금자보호법</t>
        </is>
      </c>
      <c r="E744" s="2" t="inlineStr">
        <is>
          <t>article_locate</t>
        </is>
      </c>
      <c r="F744" s="2" t="inlineStr">
        <is>
          <t>'공무원 등의 파견요청' 조항은 「예금자보호법」의 몇 조에 있는가?</t>
        </is>
      </c>
      <c r="G744" s="2" t="inlineStr">
        <is>
          <t>span</t>
        </is>
      </c>
      <c r="H744" s="2" t="inlineStr">
        <is>
          <t>제15조의3</t>
        </is>
      </c>
      <c r="I744" s="2" t="inlineStr"/>
      <c r="J744" s="2" t="inlineStr">
        <is>
          <t>국가법령정보센터 Open API (www.law.go.kr) — 예금자보호법 (시행 20260102)</t>
        </is>
      </c>
      <c r="K744" s="2" t="inlineStr">
        <is>
          <t>제15조의3</t>
        </is>
      </c>
      <c r="L744" s="2" t="inlineStr">
        <is>
          <t>제15조의3(공무원 등의 파견요청)
① 사장은 업무를 수행하기 위하여 필요하다고 인정하면 관계 행정기관 또는 법인ㆍ단체에 그 소속 공무원 또는 임직원(이하 이 조에서 "파견직원"이라 한다)의 파견을 요청할 수 있다. 이 경우 금융위원회 위원장과 미리 협의하여야 한다.
② 사장은 제1항 후단에 따라 협의를 요청할 때에는 파견인원, 파견기간, 파견요청 사유 및</t>
        </is>
      </c>
    </row>
    <row r="745">
      <c r="A745" s="2" t="inlineStr">
        <is>
          <t>REG-0744</t>
        </is>
      </c>
      <c r="B745" s="2" t="inlineStr">
        <is>
          <t>규정형</t>
        </is>
      </c>
      <c r="C745" s="2" t="inlineStr">
        <is>
          <t>예금</t>
        </is>
      </c>
      <c r="D745" s="2" t="inlineStr">
        <is>
          <t>예금자보호법</t>
        </is>
      </c>
      <c r="E745" s="2" t="inlineStr">
        <is>
          <t>article_locate</t>
        </is>
      </c>
      <c r="F745" s="2" t="inlineStr">
        <is>
          <t>「예금자보호법」에서 '공평한 손실분담의 원칙 등' 관련 규정은 제 몇 조인가?</t>
        </is>
      </c>
      <c r="G745" s="2" t="inlineStr">
        <is>
          <t>span</t>
        </is>
      </c>
      <c r="H745" s="2" t="inlineStr">
        <is>
          <t>제38조의5</t>
        </is>
      </c>
      <c r="I745" s="2" t="inlineStr"/>
      <c r="J745" s="2" t="inlineStr">
        <is>
          <t>국가법령정보센터 Open API (www.law.go.kr) — 예금자보호법 (시행 20260102)</t>
        </is>
      </c>
      <c r="K745" s="2" t="inlineStr">
        <is>
          <t>제38조의5</t>
        </is>
      </c>
      <c r="L745" s="2" t="inlineStr">
        <is>
          <t>제38조의5(공평한 손실분담의 원칙 등)
① 공사는 자금지원을 할 때에 지원 대상인 부보금융회사의 부실에 책임이 있는 자가 공평한 손실분담을 하는 것을 전제로 하여야 한다.
② 공사가 자금지원을 할 때에는 대통령령으로 정하는 바에 따라 해당 부보금융회사와 경영정상화계획의 이행을 위한 서면약정(이하 "약정"이라 한다)을 체결하여야 한다. 이 경우 약정에는 그</t>
        </is>
      </c>
    </row>
    <row r="746">
      <c r="A746" s="2" t="inlineStr">
        <is>
          <t>REG-0745</t>
        </is>
      </c>
      <c r="B746" s="2" t="inlineStr">
        <is>
          <t>규정형</t>
        </is>
      </c>
      <c r="C746" s="2" t="inlineStr">
        <is>
          <t>예금</t>
        </is>
      </c>
      <c r="D746" s="2" t="inlineStr">
        <is>
          <t>예금자보호법</t>
        </is>
      </c>
      <c r="E746" s="2" t="inlineStr">
        <is>
          <t>article_locate</t>
        </is>
      </c>
      <c r="F746" s="2" t="inlineStr">
        <is>
          <t>「예금자보호법」의 어느 조문이 '과태료'를 다루는가?</t>
        </is>
      </c>
      <c r="G746" s="2" t="inlineStr">
        <is>
          <t>span</t>
        </is>
      </c>
      <c r="H746" s="2" t="inlineStr">
        <is>
          <t>제44조</t>
        </is>
      </c>
      <c r="I746" s="2" t="inlineStr"/>
      <c r="J746" s="2" t="inlineStr">
        <is>
          <t>국가법령정보센터 Open API (www.law.go.kr) — 예금자보호법 (시행 20260102)</t>
        </is>
      </c>
      <c r="K746" s="2" t="inlineStr">
        <is>
          <t>제44조</t>
        </is>
      </c>
      <c r="L746" s="2" t="inlineStr">
        <is>
          <t>제44조(과태료)
① 제21조의2제7항에 따른 조사를 거부ㆍ방해 또는 기피한 이해관계인에게는 500만원 이하의 과태료를 부과한다.
② 다음 각 호의 어느 하나에 해당하는 자에게는 200만원 이하의 과태료를 부과한다.
1. 제7조를 위반하여 예금보험공사 또는 이와 유사한 명칭을 사용한 자
2. 제29조제2항을 위반하여 보험관계의 성립 여부와 그 내용을 표시하</t>
        </is>
      </c>
    </row>
    <row r="747">
      <c r="A747" s="2" t="inlineStr">
        <is>
          <t>REG-0746</t>
        </is>
      </c>
      <c r="B747" s="2" t="inlineStr">
        <is>
          <t>규정형</t>
        </is>
      </c>
      <c r="C747" s="2" t="inlineStr">
        <is>
          <t>예금</t>
        </is>
      </c>
      <c r="D747" s="2" t="inlineStr">
        <is>
          <t>예금자보호법</t>
        </is>
      </c>
      <c r="E747" s="2" t="inlineStr">
        <is>
          <t>article_locate</t>
        </is>
      </c>
      <c r="F747" s="2" t="inlineStr">
        <is>
          <t>「예금자보호법」에서 '관계기관등의 협조'를 규정한 조문은 몇 조인가?</t>
        </is>
      </c>
      <c r="G747" s="2" t="inlineStr">
        <is>
          <t>span</t>
        </is>
      </c>
      <c r="H747" s="2" t="inlineStr">
        <is>
          <t>제39조의3</t>
        </is>
      </c>
      <c r="I747" s="2" t="inlineStr"/>
      <c r="J747" s="2" t="inlineStr">
        <is>
          <t>국가법령정보센터 Open API (www.law.go.kr) — 예금자보호법 (시행 20260102)</t>
        </is>
      </c>
      <c r="K747" s="2" t="inlineStr">
        <is>
          <t>제39조의3</t>
        </is>
      </c>
      <c r="L747" s="2" t="inlineStr">
        <is>
          <t>제39조의3(관계기관등의 협조)
① 공사는 착오송금한 송금인의 부당이득반환채권 매입 신청이 있는 경우 「금융실명거래 및 비밀보장에 관한 법률」 제4조에도 불구하고 자금이체 금융회사등의 장에게 착오송금 수취인의 반환불가사유에 대한 자료제출을 요구할 수 있다.
② 공사는 착오송금 반환지원 업무의 원활한 수행을 위하여 중앙행정기관, 자금이체 금융회사등 및 자금이</t>
        </is>
      </c>
    </row>
    <row r="748">
      <c r="A748" s="2" t="inlineStr">
        <is>
          <t>REG-0747</t>
        </is>
      </c>
      <c r="B748" s="2" t="inlineStr">
        <is>
          <t>규정형</t>
        </is>
      </c>
      <c r="C748" s="2" t="inlineStr">
        <is>
          <t>예금</t>
        </is>
      </c>
      <c r="D748" s="2" t="inlineStr">
        <is>
          <t>예금자보호법</t>
        </is>
      </c>
      <c r="E748" s="2" t="inlineStr">
        <is>
          <t>article_locate</t>
        </is>
      </c>
      <c r="F748" s="2" t="inlineStr">
        <is>
          <t>「예금자보호법」의 어느 조문이 '관리인의 업무'를 다루는가?</t>
        </is>
      </c>
      <c r="G748" s="2" t="inlineStr">
        <is>
          <t>span</t>
        </is>
      </c>
      <c r="H748" s="2" t="inlineStr">
        <is>
          <t>제35조의7</t>
        </is>
      </c>
      <c r="I748" s="2" t="inlineStr"/>
      <c r="J748" s="2" t="inlineStr">
        <is>
          <t>국가법령정보센터 Open API (www.law.go.kr) — 예금자보호법 (시행 20260102)</t>
        </is>
      </c>
      <c r="K748" s="2" t="inlineStr">
        <is>
          <t>제35조의7</t>
        </is>
      </c>
      <c r="L748" s="2" t="inlineStr">
        <is>
          <t>제35조의7(관리인의 업무) 공사의 임원 또는 직원이 「금융산업의 구조개선에 관한 법률」 제14조의6제1항에 따라 관리인으로 선임된 경우 그 업무에 관하여는 제21조의3을 준용한다.</t>
        </is>
      </c>
    </row>
    <row r="749">
      <c r="A749" s="2" t="inlineStr">
        <is>
          <t>REG-0748</t>
        </is>
      </c>
      <c r="B749" s="2" t="inlineStr">
        <is>
          <t>규정형</t>
        </is>
      </c>
      <c r="C749" s="2" t="inlineStr">
        <is>
          <t>예금</t>
        </is>
      </c>
      <c r="D749" s="2" t="inlineStr">
        <is>
          <t>예금자보호법</t>
        </is>
      </c>
      <c r="E749" s="2" t="inlineStr">
        <is>
          <t>article_locate</t>
        </is>
      </c>
      <c r="F749" s="2" t="inlineStr">
        <is>
          <t>「예금자보호법」의 어느 조문이 '구분 회계처리'를 다루는가?</t>
        </is>
      </c>
      <c r="G749" s="2" t="inlineStr">
        <is>
          <t>span</t>
        </is>
      </c>
      <c r="H749" s="2" t="inlineStr">
        <is>
          <t>제24조의3</t>
        </is>
      </c>
      <c r="I749" s="2" t="inlineStr"/>
      <c r="J749" s="2" t="inlineStr">
        <is>
          <t>국가법령정보센터 Open API (www.law.go.kr) — 예금자보호법 (시행 20260102)</t>
        </is>
      </c>
      <c r="K749" s="2" t="inlineStr">
        <is>
          <t>제24조의3</t>
        </is>
      </c>
      <c r="L749" s="2" t="inlineStr">
        <is>
          <t>제24조의3(구분 회계처리)
① 예금보험기금, 상환기금 및 제26조의4에 따른 착오송금반환지원계정(이하 "지원계정"이라 한다)은 상호간의 회계 및 공사의 운영에 필요한 자금을 관리하는 회계와 구분하여 회계처리하여야 한다. 
② 예금보험기금은 은행, 투자매매업자ㆍ투자중개업자, 생명보험회사, 손해보험회사, 종합금융회사, 상호저축은행별로 각각 계정(計定)을 설치</t>
        </is>
      </c>
    </row>
    <row r="750">
      <c r="A750" s="2" t="inlineStr">
        <is>
          <t>REG-0749</t>
        </is>
      </c>
      <c r="B750" s="2" t="inlineStr">
        <is>
          <t>규정형</t>
        </is>
      </c>
      <c r="C750" s="2" t="inlineStr">
        <is>
          <t>예금</t>
        </is>
      </c>
      <c r="D750" s="2" t="inlineStr">
        <is>
          <t>예금자보호법</t>
        </is>
      </c>
      <c r="E750" s="2" t="inlineStr">
        <is>
          <t>article_locate</t>
        </is>
      </c>
      <c r="F750" s="2" t="inlineStr">
        <is>
          <t>「예금자보호법」에서 '국유재산의 무상 양여'를 규정한 조문은 몇 조인가?</t>
        </is>
      </c>
      <c r="G750" s="2" t="inlineStr">
        <is>
          <t>span</t>
        </is>
      </c>
      <c r="H750" s="2" t="inlineStr">
        <is>
          <t>제24조의2</t>
        </is>
      </c>
      <c r="I750" s="2" t="inlineStr"/>
      <c r="J750" s="2" t="inlineStr">
        <is>
          <t>국가법령정보센터 Open API (www.law.go.kr) — 예금자보호법 (시행 20260102)</t>
        </is>
      </c>
      <c r="K750" s="2" t="inlineStr">
        <is>
          <t>제24조의2</t>
        </is>
      </c>
      <c r="L750" s="2" t="inlineStr">
        <is>
          <t>제24조의2(국유재산의 무상 양여)
① 정부는 예금자보호 및 신용질서의 안정을 위하여 필요하다고 인정하면 「국유재산법」 제55조에도 불구하고 같은 법 제6조제3항의 일반재산을 공사에 무상으로 양여할 수 있다.
② 정부는 제1항에 따른 무상 양여를 하기 전에 국무회의의 심의 및 대통령의 승인을 거쳐 국회의 동의를 받아야 한다. 다만, 예금자보호 및 신용질서의</t>
        </is>
      </c>
    </row>
    <row r="751">
      <c r="A751" s="2" t="inlineStr">
        <is>
          <t>REG-0750</t>
        </is>
      </c>
      <c r="B751" s="2" t="inlineStr">
        <is>
          <t>규정형</t>
        </is>
      </c>
      <c r="C751" s="2" t="inlineStr">
        <is>
          <t>예금</t>
        </is>
      </c>
      <c r="D751" s="2" t="inlineStr">
        <is>
          <t>예금자보호법</t>
        </is>
      </c>
      <c r="E751" s="2" t="inlineStr">
        <is>
          <t>article_locate</t>
        </is>
      </c>
      <c r="F751" s="2" t="inlineStr">
        <is>
          <t>'금융거래정보등의 제공 요구' 조항은 「예금자보호법」의 몇 조에 있는가?</t>
        </is>
      </c>
      <c r="G751" s="2" t="inlineStr">
        <is>
          <t>span</t>
        </is>
      </c>
      <c r="H751" s="2" t="inlineStr">
        <is>
          <t>제21조의4</t>
        </is>
      </c>
      <c r="I751" s="2" t="inlineStr"/>
      <c r="J751" s="2" t="inlineStr">
        <is>
          <t>국가법령정보센터 Open API (www.law.go.kr) — 예금자보호법 (시행 20260102)</t>
        </is>
      </c>
      <c r="K751" s="2" t="inlineStr">
        <is>
          <t>제21조의4</t>
        </is>
      </c>
      <c r="L751" s="2" t="inlineStr">
        <is>
          <t>제21조의4(금융거래정보등의 제공 요구)
① 사장은 제21조의2제1항부터 제4항까지의 규정에 따른 손해배상청구의 요구, 손해배상청구권의 대위행사 및 소송참가와 같은 조 제7항에 따른 조사와 관련하여 금융거래의 내용에 대한 정보 또는 자료(이하 "금융거래정보등"이라 한다)에 의하지 아니하고는 부실관련자의 손해배상책임이나 부실관련자 또는 그 이해관계인의 재산은</t>
        </is>
      </c>
    </row>
    <row r="752">
      <c r="A752" s="2" t="inlineStr">
        <is>
          <t>REG-0751</t>
        </is>
      </c>
      <c r="B752" s="2" t="inlineStr">
        <is>
          <t>규정형</t>
        </is>
      </c>
      <c r="C752" s="2" t="inlineStr">
        <is>
          <t>예금</t>
        </is>
      </c>
      <c r="D752" s="2" t="inlineStr">
        <is>
          <t>예금자보호법</t>
        </is>
      </c>
      <c r="E752" s="2" t="inlineStr">
        <is>
          <t>article_locate</t>
        </is>
      </c>
      <c r="F752" s="2" t="inlineStr">
        <is>
          <t>「예금자보호법」에서 '다른 법률과의 관계'를 규정한 조문은 몇 조인가?</t>
        </is>
      </c>
      <c r="G752" s="2" t="inlineStr">
        <is>
          <t>span</t>
        </is>
      </c>
      <c r="H752" s="2" t="inlineStr">
        <is>
          <t>제36조의8</t>
        </is>
      </c>
      <c r="I752" s="2" t="inlineStr"/>
      <c r="J752" s="2" t="inlineStr">
        <is>
          <t>국가법령정보센터 Open API (www.law.go.kr) — 예금자보호법 (시행 20260102)</t>
        </is>
      </c>
      <c r="K752" s="2" t="inlineStr">
        <is>
          <t>제36조의8</t>
        </is>
      </c>
      <c r="L752" s="2" t="inlineStr">
        <is>
          <t>제36조의8(다른 법률과의 관계)
① 이 법에 특별한 규정이 있는 경우를 제외하고는 「한국은행법」, 「은행법」, 「자본시장과 금융투자업에 관한 법률」, 「보험업법」, 「상호저축은행법」, 「금융회사의 지배구조에 관한 법률」, 「신용협동조합법」 및 「상법」 제288조, 제289조제1항, 제295조, 제297조부터 제299조까지, 제299조의2, 제300조, 제</t>
        </is>
      </c>
    </row>
    <row r="753">
      <c r="A753" s="2" t="inlineStr">
        <is>
          <t>REG-0752</t>
        </is>
      </c>
      <c r="B753" s="2" t="inlineStr">
        <is>
          <t>규정형</t>
        </is>
      </c>
      <c r="C753" s="2" t="inlineStr">
        <is>
          <t>예금</t>
        </is>
      </c>
      <c r="D753" s="2" t="inlineStr">
        <is>
          <t>예금자보호법</t>
        </is>
      </c>
      <c r="E753" s="2" t="inlineStr">
        <is>
          <t>article_locate</t>
        </is>
      </c>
      <c r="F753" s="2" t="inlineStr">
        <is>
          <t>「예금자보호법」에서 '대리인의 선임' 관련 규정은 제 몇 조인가?</t>
        </is>
      </c>
      <c r="G753" s="2" t="inlineStr">
        <is>
          <t>span</t>
        </is>
      </c>
      <c r="H753" s="2" t="inlineStr">
        <is>
          <t>제15조의2</t>
        </is>
      </c>
      <c r="I753" s="2" t="inlineStr"/>
      <c r="J753" s="2" t="inlineStr">
        <is>
          <t>국가법령정보센터 Open API (www.law.go.kr) — 예금자보호법 (시행 20260102)</t>
        </is>
      </c>
      <c r="K753" s="2" t="inlineStr">
        <is>
          <t>제15조의2</t>
        </is>
      </c>
      <c r="L753" s="2" t="inlineStr">
        <is>
          <t>제15조의2(대리인의 선임)
① 사장은 부사장ㆍ이사 또는 직원 중에서 공사의 업무에 관하여 재판상 또는 재판 외의 모든 행위를 할 권한이 있는 대리인을 선임할 수 있다.
② 제1항에 따라 재판상 대리인으로 선임될 수 있는 직원의 범위는 대통령령으로 정한다.</t>
        </is>
      </c>
    </row>
    <row r="754">
      <c r="A754" s="2" t="inlineStr">
        <is>
          <t>REG-0753</t>
        </is>
      </c>
      <c r="B754" s="2" t="inlineStr">
        <is>
          <t>규정형</t>
        </is>
      </c>
      <c r="C754" s="2" t="inlineStr">
        <is>
          <t>공통</t>
        </is>
      </c>
      <c r="D754" s="2" t="inlineStr">
        <is>
          <t>금융소비자 보호에 관한 법률</t>
        </is>
      </c>
      <c r="E754" s="2" t="inlineStr">
        <is>
          <t>article_locate</t>
        </is>
      </c>
      <c r="F754" s="2" t="inlineStr">
        <is>
          <t>「금융소비자 보호에 관한 법률」에서 '결손처분' 관련 규정은 제 몇 조인가?</t>
        </is>
      </c>
      <c r="G754" s="2" t="inlineStr">
        <is>
          <t>span</t>
        </is>
      </c>
      <c r="H754" s="2" t="inlineStr">
        <is>
          <t>제64조</t>
        </is>
      </c>
      <c r="I754" s="2" t="inlineStr"/>
      <c r="J754" s="2" t="inlineStr">
        <is>
          <t>국가법령정보센터 Open API (www.law.go.kr) — 금융소비자 보호에 관한 법률 (시행 20260102)</t>
        </is>
      </c>
      <c r="K754" s="2" t="inlineStr">
        <is>
          <t>제64조</t>
        </is>
      </c>
      <c r="L754" s="2" t="inlineStr">
        <is>
          <t>제64조(결손처분) 금융위원회는 과징금납부의무자에게 다음 각 호의 어느 하나에 해당하는 사유가 있으면 결손처분을 할 수 있다.
1. 체납처분이 끝나고 체납액에 충당된 배분금액이 체납액에 미치지 못하는 경우
2. 과징금 등의 징수권에 대한 소멸시효가 완성된 경우
3. 체납자의 행방이 분명하지 아니하거나 재산이 없다는 것이 판명된 경우
4. 체납처분의 목적물인</t>
        </is>
      </c>
    </row>
    <row r="755">
      <c r="A755" s="2" t="inlineStr">
        <is>
          <t>REG-0754</t>
        </is>
      </c>
      <c r="B755" s="2" t="inlineStr">
        <is>
          <t>규정형</t>
        </is>
      </c>
      <c r="C755" s="2" t="inlineStr">
        <is>
          <t>공통</t>
        </is>
      </c>
      <c r="D755" s="2" t="inlineStr">
        <is>
          <t>금융소비자 보호에 관한 법률</t>
        </is>
      </c>
      <c r="E755" s="2" t="inlineStr">
        <is>
          <t>article_locate</t>
        </is>
      </c>
      <c r="F755" s="2" t="inlineStr">
        <is>
          <t>「금융소비자 보호에 관한 법률」의 어느 조문이 '계약서류의 제공의무'를 다루는가?</t>
        </is>
      </c>
      <c r="G755" s="2" t="inlineStr">
        <is>
          <t>span</t>
        </is>
      </c>
      <c r="H755" s="2" t="inlineStr">
        <is>
          <t>제23조</t>
        </is>
      </c>
      <c r="I755" s="2" t="inlineStr"/>
      <c r="J755" s="2" t="inlineStr">
        <is>
          <t>국가법령정보센터 Open API (www.law.go.kr) — 금융소비자 보호에 관한 법률 (시행 20260102)</t>
        </is>
      </c>
      <c r="K755" s="2" t="inlineStr">
        <is>
          <t>제23조</t>
        </is>
      </c>
      <c r="L755" s="2" t="inlineStr">
        <is>
          <t xml:space="preserve">제23조(계약서류의 제공의무)
① 금융상품직접판매업자 및 금융상품자문업자는 금융소비자와 금융상품 또는 금융상품자문에 관한 계약을 체결하는 경우 금융상품의 유형별로 대통령령으로 정하는 계약서류를 금융소비자에게 지체 없이 제공하여야 한다. 다만, 계약내용 등이 금융소비자 보호를 해칠 우려가 없는 경우로서 대통령령으로 정하는 경우에는 계약서류를 제공하지 아니할 </t>
        </is>
      </c>
    </row>
    <row r="756">
      <c r="A756" s="2" t="inlineStr">
        <is>
          <t>REG-0755</t>
        </is>
      </c>
      <c r="B756" s="2" t="inlineStr">
        <is>
          <t>규정형</t>
        </is>
      </c>
      <c r="C756" s="2" t="inlineStr">
        <is>
          <t>공통</t>
        </is>
      </c>
      <c r="D756" s="2" t="inlineStr">
        <is>
          <t>금융소비자 보호에 관한 법률</t>
        </is>
      </c>
      <c r="E756" s="2" t="inlineStr">
        <is>
          <t>article_locate</t>
        </is>
      </c>
      <c r="F756" s="2" t="inlineStr">
        <is>
          <t>「금융소비자 보호에 관한 법률」에서 '과오납금의 환급' 관련 규정은 제 몇 조인가?</t>
        </is>
      </c>
      <c r="G756" s="2" t="inlineStr">
        <is>
          <t>span</t>
        </is>
      </c>
      <c r="H756" s="2" t="inlineStr">
        <is>
          <t>제62조</t>
        </is>
      </c>
      <c r="I756" s="2" t="inlineStr"/>
      <c r="J756" s="2" t="inlineStr">
        <is>
          <t>국가법령정보센터 Open API (www.law.go.kr) — 금융소비자 보호에 관한 법률 (시행 20260102)</t>
        </is>
      </c>
      <c r="K756" s="2" t="inlineStr">
        <is>
          <t>제62조</t>
        </is>
      </c>
      <c r="L756" s="2" t="inlineStr">
        <is>
          <t>제62조(과오납금의 환급)
① 금융위원회는 과징금납부의무자가 이의신청의 재결 또는 법원의 판결 등을 근거로 과징금 과오납금의 환급을 청구하는 경우에는 지체 없이 환급하여야 하며, 과징금납부의무자의 청구가 없는 경우에도 금융위원회가 확인한 과오납금은 환급하여야 한다.
② 금융위원회는 제1항에 따라 과오납금을 환급하는 경우 환급받을 자가 금융위원회에 납부하여야</t>
        </is>
      </c>
    </row>
    <row r="757">
      <c r="A757" s="2" t="inlineStr">
        <is>
          <t>REG-0756</t>
        </is>
      </c>
      <c r="B757" s="2" t="inlineStr">
        <is>
          <t>규정형</t>
        </is>
      </c>
      <c r="C757" s="2" t="inlineStr">
        <is>
          <t>공통</t>
        </is>
      </c>
      <c r="D757" s="2" t="inlineStr">
        <is>
          <t>금융소비자 보호에 관한 법률</t>
        </is>
      </c>
      <c r="E757" s="2" t="inlineStr">
        <is>
          <t>article_locate</t>
        </is>
      </c>
      <c r="F757" s="2" t="inlineStr">
        <is>
          <t>'과징금' 조항은 「금융소비자 보호에 관한 법률」의 몇 조에 있는가?</t>
        </is>
      </c>
      <c r="G757" s="2" t="inlineStr">
        <is>
          <t>span</t>
        </is>
      </c>
      <c r="H757" s="2" t="inlineStr">
        <is>
          <t>제57조</t>
        </is>
      </c>
      <c r="I757" s="2" t="inlineStr"/>
      <c r="J757" s="2" t="inlineStr">
        <is>
          <t>국가법령정보센터 Open API (www.law.go.kr) — 금융소비자 보호에 관한 법률 (시행 20260102)</t>
        </is>
      </c>
      <c r="K757" s="2" t="inlineStr">
        <is>
          <t>제57조</t>
        </is>
      </c>
      <c r="L757" s="2" t="inlineStr">
        <is>
          <t>제57조(과징금)
① 금융위원회는 금융상품직접판매업자 또는 금융상품자문업자가 다음 각 호의 어느 하나에 해당하는 경우 그 위반행위와 관련된 계약으로 얻은 수입 또는 이에 준하는 금액(이하 이 조에서 "수입등"이라 한다)의 100분의 50 이내에서 과징금을 부과할 수 있다. 다만, 위반행위를 한 자가 그 위반행위와 관련된 계약으로 얻은 수입등이 없거나 수입등</t>
        </is>
      </c>
    </row>
    <row r="758">
      <c r="A758" s="2" t="inlineStr">
        <is>
          <t>REG-0757</t>
        </is>
      </c>
      <c r="B758" s="2" t="inlineStr">
        <is>
          <t>규정형</t>
        </is>
      </c>
      <c r="C758" s="2" t="inlineStr">
        <is>
          <t>공통</t>
        </is>
      </c>
      <c r="D758" s="2" t="inlineStr">
        <is>
          <t>금융소비자 보호에 관한 법률</t>
        </is>
      </c>
      <c r="E758" s="2" t="inlineStr">
        <is>
          <t>article_locate</t>
        </is>
      </c>
      <c r="F758" s="2" t="inlineStr">
        <is>
          <t>「금융소비자 보호에 관한 법률」에서 '과징금의 납부기한 연기 및 분할 납부'를 규정한 조문은 몇 조인가?</t>
        </is>
      </c>
      <c r="G758" s="2" t="inlineStr">
        <is>
          <t>span</t>
        </is>
      </c>
      <c r="H758" s="2" t="inlineStr">
        <is>
          <t>제60조</t>
        </is>
      </c>
      <c r="I758" s="2" t="inlineStr"/>
      <c r="J758" s="2" t="inlineStr">
        <is>
          <t>국가법령정보센터 Open API (www.law.go.kr) — 금융소비자 보호에 관한 법률 (시행 20260102)</t>
        </is>
      </c>
      <c r="K758" s="2" t="inlineStr">
        <is>
          <t>제60조</t>
        </is>
      </c>
      <c r="L758" s="2" t="inlineStr">
        <is>
          <t xml:space="preserve">제60조(과징금의 납부기한 연기 및 분할 납부)
① 금융위원회는 제57조 또는 제58조제2항에 따라 과징금을 부과받은 자(이하 "과징금납부의무자"라 한다)에 대하여 「행정기본법」 제29조 단서에 따라 과징금 납부기한을 연기하거나 과징금을 분할 납부하게 할 수 있으며, 이 경우 필요하다고 인정하면 담보를 제공하게 할 수 있다.
② 과징금납부의무자는 제1항에 </t>
        </is>
      </c>
    </row>
    <row r="759">
      <c r="A759" s="2" t="inlineStr">
        <is>
          <t>REG-0758</t>
        </is>
      </c>
      <c r="B759" s="2" t="inlineStr">
        <is>
          <t>규정형</t>
        </is>
      </c>
      <c r="C759" s="2" t="inlineStr">
        <is>
          <t>공통</t>
        </is>
      </c>
      <c r="D759" s="2" t="inlineStr">
        <is>
          <t>금융소비자 보호에 관한 법률</t>
        </is>
      </c>
      <c r="E759" s="2" t="inlineStr">
        <is>
          <t>article_locate</t>
        </is>
      </c>
      <c r="F759" s="2" t="inlineStr">
        <is>
          <t>「금융소비자 보호에 관한 법률」에서 '과징금의 부과' 관련 규정은 제 몇 조인가?</t>
        </is>
      </c>
      <c r="G759" s="2" t="inlineStr">
        <is>
          <t>span</t>
        </is>
      </c>
      <c r="H759" s="2" t="inlineStr">
        <is>
          <t>제58조</t>
        </is>
      </c>
      <c r="I759" s="2" t="inlineStr"/>
      <c r="J759" s="2" t="inlineStr">
        <is>
          <t>국가법령정보센터 Open API (www.law.go.kr) — 금융소비자 보호에 관한 법률 (시행 20260102)</t>
        </is>
      </c>
      <c r="K759" s="2" t="inlineStr">
        <is>
          <t>제58조</t>
        </is>
      </c>
      <c r="L759" s="2" t="inlineStr">
        <is>
          <t xml:space="preserve">제58조(과징금의 부과)
① 금융위원회는 제57조에 따라 과징금을 부과하는 경우에는 대통령령으로 정하는 기준에 따라 다음 각 호의 사항을 고려하여야 한다.
1. 위반행위의 내용 및 정도
2. 위반행위의 기간 및 위반횟수
3. 위반행위로 인하여 취득한 이익의 규모
4. 업무정지기간(제57조제3항에 따라 과징금을 부과하는 경우만 해당한다)
② 금융위원회는 이 </t>
        </is>
      </c>
    </row>
    <row r="760">
      <c r="A760" s="2" t="inlineStr">
        <is>
          <t>REG-0759</t>
        </is>
      </c>
      <c r="B760" s="2" t="inlineStr">
        <is>
          <t>규정형</t>
        </is>
      </c>
      <c r="C760" s="2" t="inlineStr">
        <is>
          <t>공통</t>
        </is>
      </c>
      <c r="D760" s="2" t="inlineStr">
        <is>
          <t>금융소비자 보호에 관한 법률</t>
        </is>
      </c>
      <c r="E760" s="2" t="inlineStr">
        <is>
          <t>article_locate</t>
        </is>
      </c>
      <c r="F760" s="2" t="inlineStr">
        <is>
          <t>'과징금의 징수 및 체납처분' 조항은 「금융소비자 보호에 관한 법률」의 몇 조에 있는가?</t>
        </is>
      </c>
      <c r="G760" s="2" t="inlineStr">
        <is>
          <t>span</t>
        </is>
      </c>
      <c r="H760" s="2" t="inlineStr">
        <is>
          <t>제61조</t>
        </is>
      </c>
      <c r="I760" s="2" t="inlineStr"/>
      <c r="J760" s="2" t="inlineStr">
        <is>
          <t>국가법령정보센터 Open API (www.law.go.kr) — 금융소비자 보호에 관한 법률 (시행 20260102)</t>
        </is>
      </c>
      <c r="K760" s="2" t="inlineStr">
        <is>
          <t>제61조</t>
        </is>
      </c>
      <c r="L760" s="2" t="inlineStr">
        <is>
          <t>제61조(과징금의 징수 및 체납처분)
① 금융위원회는 과징금납부의무자가 납부기한까지 과징금을 납부하지 아니한 경우에는 납부기한의 다음 날부터 납부한 날의 전일까지의 기간에 대하여 대통령령으로 정하는 가산금을 징수할 수 있다. 이 경우 가산금을 징수하는 기간은 60개월을 초과할 수 없다.
② 금융위원회는 과징금납부의무자가 납부기한까지 과징금을 납부하지 아니한</t>
        </is>
      </c>
    </row>
    <row r="761">
      <c r="A761" s="2" t="inlineStr">
        <is>
          <t>REG-0760</t>
        </is>
      </c>
      <c r="B761" s="2" t="inlineStr">
        <is>
          <t>규정형</t>
        </is>
      </c>
      <c r="C761" s="2" t="inlineStr">
        <is>
          <t>공통</t>
        </is>
      </c>
      <c r="D761" s="2" t="inlineStr">
        <is>
          <t>금융소비자 보호에 관한 법률</t>
        </is>
      </c>
      <c r="E761" s="2" t="inlineStr">
        <is>
          <t>article_locate</t>
        </is>
      </c>
      <c r="F761" s="2" t="inlineStr">
        <is>
          <t>「금융소비자 보호에 관한 법률」의 어느 조문이 '과태료'를 다루는가?</t>
        </is>
      </c>
      <c r="G761" s="2" t="inlineStr">
        <is>
          <t>span</t>
        </is>
      </c>
      <c r="H761" s="2" t="inlineStr">
        <is>
          <t>제69조</t>
        </is>
      </c>
      <c r="I761" s="2" t="inlineStr"/>
      <c r="J761" s="2" t="inlineStr">
        <is>
          <t>국가법령정보센터 Open API (www.law.go.kr) — 금융소비자 보호에 관한 법률 (시행 20260102)</t>
        </is>
      </c>
      <c r="K761" s="2" t="inlineStr">
        <is>
          <t>제69조</t>
        </is>
      </c>
      <c r="L761" s="2" t="inlineStr">
        <is>
          <t xml:space="preserve">제69조(과태료)
① 다음 각 호의 어느 하나에 해당하는 자에게는 1억원 이하의 과태료를 부과한다.
1. 제16조제2항을 위반하여 내부통제기준을 마련하지 아니한 자
2. 제19조제1항을 위반하여 중요한 사항을 설명하지 아니하거나 같은 조 제2항을 위반하여 설명서를 제공하지 아니하거나 확인을 받지 아니한 자
3. 제20조제1항 각 호의 어느 하나에 해당하는 </t>
        </is>
      </c>
    </row>
    <row r="762">
      <c r="A762" s="2" t="inlineStr">
        <is>
          <t>REG-0761</t>
        </is>
      </c>
      <c r="B762" s="2" t="inlineStr">
        <is>
          <t>규정형</t>
        </is>
      </c>
      <c r="C762" s="2" t="inlineStr">
        <is>
          <t>공통</t>
        </is>
      </c>
      <c r="D762" s="2" t="inlineStr">
        <is>
          <t>금융소비자 보호에 관한 법률</t>
        </is>
      </c>
      <c r="E762" s="2" t="inlineStr">
        <is>
          <t>article_locate</t>
        </is>
      </c>
      <c r="F762" s="2" t="inlineStr">
        <is>
          <t>「금융소비자 보호에 관한 법률」의 어느 조문이 '국가의 책무'를 다루는가?</t>
        </is>
      </c>
      <c r="G762" s="2" t="inlineStr">
        <is>
          <t>span</t>
        </is>
      </c>
      <c r="H762" s="2" t="inlineStr">
        <is>
          <t>제9조</t>
        </is>
      </c>
      <c r="I762" s="2" t="inlineStr"/>
      <c r="J762" s="2" t="inlineStr">
        <is>
          <t>국가법령정보센터 Open API (www.law.go.kr) — 금융소비자 보호에 관한 법률 (시행 20260102)</t>
        </is>
      </c>
      <c r="K762" s="2" t="inlineStr">
        <is>
          <t>제9조</t>
        </is>
      </c>
      <c r="L762" s="2" t="inlineStr">
        <is>
          <t>제9조(국가의 책무) 국가는 제7조에 따른 금융소비자의 기본적 권리가 실현되도록 하기 위하여 다음 각 호의 책무를 진다.
1. 금융소비자 권익 증진을 위하여 필요한 시책의 수립 및 실시
2. 금융소비자 보호 관련 법령의 제정ㆍ개정 및 폐지
3. 필요한 행정조직의 정비 및 운영 개선
4. 금융소비자의 건전하고 자주적인 조직활동의 지원ㆍ육성</t>
        </is>
      </c>
    </row>
    <row r="763">
      <c r="A763" s="2" t="inlineStr">
        <is>
          <t>REG-0762</t>
        </is>
      </c>
      <c r="B763" s="2" t="inlineStr">
        <is>
          <t>규정형</t>
        </is>
      </c>
      <c r="C763" s="2" t="inlineStr">
        <is>
          <t>공통</t>
        </is>
      </c>
      <c r="D763" s="2" t="inlineStr">
        <is>
          <t>금융소비자 보호에 관한 법률</t>
        </is>
      </c>
      <c r="E763" s="2" t="inlineStr">
        <is>
          <t>article_locate</t>
        </is>
      </c>
      <c r="F763" s="2" t="inlineStr">
        <is>
          <t>「금융소비자 보호에 관한 법률」에서 '금융감독원장에 대한 지도ㆍ감독 등'을 규정한 조문은 몇 조인가?</t>
        </is>
      </c>
      <c r="G763" s="2" t="inlineStr">
        <is>
          <t>span</t>
        </is>
      </c>
      <c r="H763" s="2" t="inlineStr">
        <is>
          <t>제66조</t>
        </is>
      </c>
      <c r="I763" s="2" t="inlineStr"/>
      <c r="J763" s="2" t="inlineStr">
        <is>
          <t>국가법령정보센터 Open API (www.law.go.kr) — 금융소비자 보호에 관한 법률 (시행 20260102)</t>
        </is>
      </c>
      <c r="K763" s="2" t="inlineStr">
        <is>
          <t>제66조</t>
        </is>
      </c>
      <c r="L763" s="2" t="inlineStr">
        <is>
          <t>제66조(금융감독원장에 대한 지도ㆍ감독 등)
① 금융위원회는 이 법에 따른 권한을 행사하는 데에 필요한 경우에는 금융감독원장에 대하여 지도ㆍ감독, 그 밖에 감독상 필요한 조치를 명할 수 있다.
② 금융감독원은 이 법에 따라 금융위원회의 지도ㆍ감독을 받아 이 법에 따라 부여된 업무, 금융위원회로부터 위탁받은 업무를 수행한다.</t>
        </is>
      </c>
    </row>
    <row r="764">
      <c r="A764" s="2" t="inlineStr">
        <is>
          <t>REG-0763</t>
        </is>
      </c>
      <c r="B764" s="2" t="inlineStr">
        <is>
          <t>규정형</t>
        </is>
      </c>
      <c r="C764" s="2" t="inlineStr">
        <is>
          <t>외환</t>
        </is>
      </c>
      <c r="D764" s="2" t="inlineStr">
        <is>
          <t>외국환거래법</t>
        </is>
      </c>
      <c r="E764" s="2" t="inlineStr">
        <is>
          <t>article_locate</t>
        </is>
      </c>
      <c r="F764" s="2" t="inlineStr">
        <is>
          <t>'경고 및 거래정지 등' 조항은 「외국환거래법」의 몇 조에 있는가?</t>
        </is>
      </c>
      <c r="G764" s="2" t="inlineStr">
        <is>
          <t>span</t>
        </is>
      </c>
      <c r="H764" s="2" t="inlineStr">
        <is>
          <t>제19조</t>
        </is>
      </c>
      <c r="I764" s="2" t="inlineStr"/>
      <c r="J764" s="2" t="inlineStr">
        <is>
          <t>국가법령정보센터 Open API (www.law.go.kr) — 외국환거래법 (시행 20260102)</t>
        </is>
      </c>
      <c r="K764" s="2" t="inlineStr">
        <is>
          <t>제19조</t>
        </is>
      </c>
      <c r="L764" s="2" t="inlineStr">
        <is>
          <t>제19조(경고 및 거래정지 등)
① 재정경제부장관은 이 법을 적용받는 자가 다음 각 호의 어느 하나에 해당하는 경우에는 경고를 할 수 있다. 
1. 제15조부터 제18조까지의 규정에 따라 허가를 받거나 신고를 한 경우 허가사항 또는 신고사항에 정하여진 기한이 지난 후에 거래 또는 행위를 한 경우
2. 대통령령으로 정하는 금액(거래 또는 행위 유형에 따라 금</t>
        </is>
      </c>
    </row>
    <row r="765">
      <c r="A765" s="2" t="inlineStr">
        <is>
          <t>REG-0764</t>
        </is>
      </c>
      <c r="B765" s="2" t="inlineStr">
        <is>
          <t>규정형</t>
        </is>
      </c>
      <c r="C765" s="2" t="inlineStr">
        <is>
          <t>외환</t>
        </is>
      </c>
      <c r="D765" s="2" t="inlineStr">
        <is>
          <t>외국환거래법</t>
        </is>
      </c>
      <c r="E765" s="2" t="inlineStr">
        <is>
          <t>article_locate</t>
        </is>
      </c>
      <c r="F765" s="2" t="inlineStr">
        <is>
          <t>「외국환거래법」의 어느 조문이 '과징금'을 다루는가?</t>
        </is>
      </c>
      <c r="G765" s="2" t="inlineStr">
        <is>
          <t>span</t>
        </is>
      </c>
      <c r="H765" s="2" t="inlineStr">
        <is>
          <t>제12조의2</t>
        </is>
      </c>
      <c r="I765" s="2" t="inlineStr"/>
      <c r="J765" s="2" t="inlineStr">
        <is>
          <t>국가법령정보센터 Open API (www.law.go.kr) — 외국환거래법 (시행 20260102)</t>
        </is>
      </c>
      <c r="K765" s="2" t="inlineStr">
        <is>
          <t>제12조의2</t>
        </is>
      </c>
      <c r="L765" s="2" t="inlineStr">
        <is>
          <t>제12조의2(과징금)
① 재정경제부장관은 제12조제1항 각 호의 어느 하나에 해당하는 위반행위를 한 자에 대하여 업무를 제한하거나 업무의 전부 또는 일부를 정지할 수 있는 경우에는 이를 갈음하여 그 위반행위로 취득한 이익의 범위에서 과징금을 부과할 수 있다. 
② 제1항에 따라 과징금을 부과하는 경우에는 대통령령으로 정하는 기준에 따라 다음 각 호의 사항을</t>
        </is>
      </c>
    </row>
    <row r="766">
      <c r="A766" s="2" t="inlineStr">
        <is>
          <t>REG-0765</t>
        </is>
      </c>
      <c r="B766" s="2" t="inlineStr">
        <is>
          <t>규정형</t>
        </is>
      </c>
      <c r="C766" s="2" t="inlineStr">
        <is>
          <t>외환</t>
        </is>
      </c>
      <c r="D766" s="2" t="inlineStr">
        <is>
          <t>외국환거래법</t>
        </is>
      </c>
      <c r="E766" s="2" t="inlineStr">
        <is>
          <t>article_locate</t>
        </is>
      </c>
      <c r="F766" s="2" t="inlineStr">
        <is>
          <t>「외국환거래법」에서 '과태료'를 규정한 조문은 몇 조인가?</t>
        </is>
      </c>
      <c r="G766" s="2" t="inlineStr">
        <is>
          <t>span</t>
        </is>
      </c>
      <c r="H766" s="2" t="inlineStr">
        <is>
          <t>제32조</t>
        </is>
      </c>
      <c r="I766" s="2" t="inlineStr"/>
      <c r="J766" s="2" t="inlineStr">
        <is>
          <t>국가법령정보센터 Open API (www.law.go.kr) — 외국환거래법 (시행 20260102)</t>
        </is>
      </c>
      <c r="K766" s="2" t="inlineStr">
        <is>
          <t>제32조</t>
        </is>
      </c>
      <c r="L766" s="2" t="inlineStr">
        <is>
          <t>제32조(과태료)
① 다음 각 호의 어느 하나에 해당하는 자에게는 1억원 이하의 과태료를 부과한다. 다만, 제29조에 해당하는 경우는 제외한다. 
1. 제8조제4항에 따른 변경신고를 하지 아니하거나 거짓으로 변경신고를 하고 외국환업무를 한 자
2. 제9조제1항 후단에 따른 변경신고를 하지 아니하거나 거짓으로 변경신고를 하고 외국환중개업무를 한 자 또는 같은</t>
        </is>
      </c>
    </row>
    <row r="767">
      <c r="A767" s="2" t="inlineStr">
        <is>
          <t>REG-0766</t>
        </is>
      </c>
      <c r="B767" s="2" t="inlineStr">
        <is>
          <t>규정형</t>
        </is>
      </c>
      <c r="C767" s="2" t="inlineStr">
        <is>
          <t>외환</t>
        </is>
      </c>
      <c r="D767" s="2" t="inlineStr">
        <is>
          <t>외국환거래법</t>
        </is>
      </c>
      <c r="E767" s="2" t="inlineStr">
        <is>
          <t>article_locate</t>
        </is>
      </c>
      <c r="F767" s="2" t="inlineStr">
        <is>
          <t>「외국환거래법」의 어느 조문이 '국세청장 등에게의 통보 등'을 다루는가?</t>
        </is>
      </c>
      <c r="G767" s="2" t="inlineStr">
        <is>
          <t>span</t>
        </is>
      </c>
      <c r="H767" s="2" t="inlineStr">
        <is>
          <t>제21조</t>
        </is>
      </c>
      <c r="I767" s="2" t="inlineStr"/>
      <c r="J767" s="2" t="inlineStr">
        <is>
          <t>국가법령정보센터 Open API (www.law.go.kr) — 외국환거래법 (시행 20260102)</t>
        </is>
      </c>
      <c r="K767" s="2" t="inlineStr">
        <is>
          <t>제21조</t>
        </is>
      </c>
      <c r="L767" s="2" t="inlineStr">
        <is>
          <t>제21조(국세청장 등에게의 통보 등)
① 다른 법률에도 불구하고 재정경제부장관은 이 법을 적용받는 거래, 지급, 수령, 자금의 이동 등에 관한 자료를 국세청장, 관세청장, 금융감독원장 또는 한국수출입은행장에게 직접 통보하거나 한국은행총재, 외국환업무취급기관등의 장, 세관의 장, 그 밖에 대통령령으로 정하는 자로 하여금 국세청장, 관세청장, 금융감독원장 또는</t>
        </is>
      </c>
    </row>
    <row r="768">
      <c r="A768" s="2" t="inlineStr">
        <is>
          <t>REG-0767</t>
        </is>
      </c>
      <c r="B768" s="2" t="inlineStr">
        <is>
          <t>규정형</t>
        </is>
      </c>
      <c r="C768" s="2" t="inlineStr">
        <is>
          <t>외환</t>
        </is>
      </c>
      <c r="D768" s="2" t="inlineStr">
        <is>
          <t>외국환거래법</t>
        </is>
      </c>
      <c r="E768" s="2" t="inlineStr">
        <is>
          <t>article_locate</t>
        </is>
      </c>
      <c r="F768" s="2" t="inlineStr">
        <is>
          <t>'권한의 위임ㆍ위탁 등' 조항은 「외국환거래법」의 몇 조에 있는가?</t>
        </is>
      </c>
      <c r="G768" s="2" t="inlineStr">
        <is>
          <t>span</t>
        </is>
      </c>
      <c r="H768" s="2" t="inlineStr">
        <is>
          <t>제23조</t>
        </is>
      </c>
      <c r="I768" s="2" t="inlineStr"/>
      <c r="J768" s="2" t="inlineStr">
        <is>
          <t>국가법령정보센터 Open API (www.law.go.kr) — 외국환거래법 (시행 20260102)</t>
        </is>
      </c>
      <c r="K768" s="2" t="inlineStr">
        <is>
          <t>제23조</t>
        </is>
      </c>
      <c r="L768" s="2" t="inlineStr">
        <is>
          <t>제23조(권한의 위임ㆍ위탁 등)
① 재정경제부장관은 이 법에 따른 권한의 일부를 대통령령으로 정하는 바에 따라 금융위원회, 증권선물위원회, 관계 행정기관의 장, 한국은행총재, 금융감독원장, 외국환업무취급기관등의 장, 그 밖에 대통령령으로 정하는 자에게 위임하거나 위탁할 수 있다. 
② 제1항 및 제20조제6항에 따른 업무를 담당하는 사람과 그 소속 임원 및</t>
        </is>
      </c>
    </row>
    <row r="769">
      <c r="A769" s="2" t="inlineStr">
        <is>
          <t>REG-0768</t>
        </is>
      </c>
      <c r="B769" s="2" t="inlineStr">
        <is>
          <t>규정형</t>
        </is>
      </c>
      <c r="C769" s="2" t="inlineStr">
        <is>
          <t>외환</t>
        </is>
      </c>
      <c r="D769" s="2" t="inlineStr">
        <is>
          <t>외국환거래법</t>
        </is>
      </c>
      <c r="E769" s="2" t="inlineStr">
        <is>
          <t>article_locate</t>
        </is>
      </c>
      <c r="F769" s="2" t="inlineStr">
        <is>
          <t>「외국환거래법」에서 '다른 법률과의 관계' 관련 규정은 제 몇 조인가?</t>
        </is>
      </c>
      <c r="G769" s="2" t="inlineStr">
        <is>
          <t>span</t>
        </is>
      </c>
      <c r="H769" s="2" t="inlineStr">
        <is>
          <t>제26조</t>
        </is>
      </c>
      <c r="I769" s="2" t="inlineStr"/>
      <c r="J769" s="2" t="inlineStr">
        <is>
          <t>국가법령정보센터 Open API (www.law.go.kr) — 외국환거래법 (시행 20260102)</t>
        </is>
      </c>
      <c r="K769" s="2" t="inlineStr">
        <is>
          <t>제26조</t>
        </is>
      </c>
      <c r="L769" s="2" t="inlineStr">
        <is>
          <t xml:space="preserve">제26조(다른 법률과의 관계) 제11조의3제5항, 제20조, 제23조, 제24조 및 제25조제2항은 「금융실명거래 및 비밀보장에 관한 법률」 제4조에 우선하여 적용된다. </t>
        </is>
      </c>
    </row>
    <row r="770">
      <c r="A770" s="2" t="inlineStr">
        <is>
          <t>REG-0769</t>
        </is>
      </c>
      <c r="B770" s="2" t="inlineStr">
        <is>
          <t>규정형</t>
        </is>
      </c>
      <c r="C770" s="2" t="inlineStr">
        <is>
          <t>외환</t>
        </is>
      </c>
      <c r="D770" s="2" t="inlineStr">
        <is>
          <t>외국환거래법</t>
        </is>
      </c>
      <c r="E770" s="2" t="inlineStr">
        <is>
          <t>article_locate</t>
        </is>
      </c>
      <c r="F770" s="2" t="inlineStr">
        <is>
          <t>「외국환거래법」에서 '대외거래의 원활화 촉진 등'을 규정한 조문은 몇 조인가?</t>
        </is>
      </c>
      <c r="G770" s="2" t="inlineStr">
        <is>
          <t>span</t>
        </is>
      </c>
      <c r="H770" s="2" t="inlineStr">
        <is>
          <t>제4조</t>
        </is>
      </c>
      <c r="I770" s="2" t="inlineStr"/>
      <c r="J770" s="2" t="inlineStr">
        <is>
          <t>국가법령정보센터 Open API (www.law.go.kr) — 외국환거래법 (시행 20260102)</t>
        </is>
      </c>
      <c r="K770" s="2" t="inlineStr">
        <is>
          <t>제4조</t>
        </is>
      </c>
      <c r="L770" s="2" t="inlineStr">
        <is>
          <t xml:space="preserve">제4조(대외거래의 원활화 촉진 등)
① 재정경제부장관은 이 법에 따른 제한을 필요한 최소한의 범위에서 함으로써 외국환거래나 그 밖의 대외거래가 원활하게 이루어질 수 있도록 노력하여야 한다. 
② 재정경제부장관은 안정적인 외국환수급(需給)의 기반 조성과 외환시장의 안정을 위하여 노력하여야 하며, 이를 위한 시책을 마련하여야 한다. </t>
        </is>
      </c>
    </row>
    <row r="771">
      <c r="A771" s="2" t="inlineStr">
        <is>
          <t>REG-0770</t>
        </is>
      </c>
      <c r="B771" s="2" t="inlineStr">
        <is>
          <t>규정형</t>
        </is>
      </c>
      <c r="C771" s="2" t="inlineStr">
        <is>
          <t>외환</t>
        </is>
      </c>
      <c r="D771" s="2" t="inlineStr">
        <is>
          <t>외국환거래법</t>
        </is>
      </c>
      <c r="E771" s="2" t="inlineStr">
        <is>
          <t>article_locate</t>
        </is>
      </c>
      <c r="F771" s="2" t="inlineStr">
        <is>
          <t>「외국환거래법」에서 '몰수ㆍ추징' 관련 규정은 제 몇 조인가?</t>
        </is>
      </c>
      <c r="G771" s="2" t="inlineStr">
        <is>
          <t>span</t>
        </is>
      </c>
      <c r="H771" s="2" t="inlineStr">
        <is>
          <t>제30조</t>
        </is>
      </c>
      <c r="I771" s="2" t="inlineStr"/>
      <c r="J771" s="2" t="inlineStr">
        <is>
          <t>국가법령정보센터 Open API (www.law.go.kr) — 외국환거래법 (시행 20260102)</t>
        </is>
      </c>
      <c r="K771" s="2" t="inlineStr">
        <is>
          <t>제30조</t>
        </is>
      </c>
      <c r="L771" s="2" t="inlineStr">
        <is>
          <t xml:space="preserve">제30조(몰수ㆍ추징) 제27조제1항 각 호, 제27조의2제1항 각 호 또는 제29조제1항 각 호의 어느 하나에 해당하는 자가 해당 행위를 하여 취득한 외국환이나 그 밖에 증권, 귀금속, 부동산 및 내국지급수단은 몰수하며, 몰수할 수 없는 경우에는 그 가액을 추징한다. </t>
        </is>
      </c>
    </row>
    <row r="772">
      <c r="A772" s="2" t="inlineStr">
        <is>
          <t>REG-0771</t>
        </is>
      </c>
      <c r="B772" s="2" t="inlineStr">
        <is>
          <t>규정형</t>
        </is>
      </c>
      <c r="C772" s="2" t="inlineStr">
        <is>
          <t>외환</t>
        </is>
      </c>
      <c r="D772" s="2" t="inlineStr">
        <is>
          <t>외국환거래법</t>
        </is>
      </c>
      <c r="E772" s="2" t="inlineStr">
        <is>
          <t>article_locate</t>
        </is>
      </c>
      <c r="F772" s="2" t="inlineStr">
        <is>
          <t>「외국환거래법」에서 '보고ㆍ검사' 관련 규정은 제 몇 조인가?</t>
        </is>
      </c>
      <c r="G772" s="2" t="inlineStr">
        <is>
          <t>span</t>
        </is>
      </c>
      <c r="H772" s="2" t="inlineStr">
        <is>
          <t>제20조</t>
        </is>
      </c>
      <c r="I772" s="2" t="inlineStr"/>
      <c r="J772" s="2" t="inlineStr">
        <is>
          <t>국가법령정보센터 Open API (www.law.go.kr) — 외국환거래법 (시행 20260102)</t>
        </is>
      </c>
      <c r="K772" s="2" t="inlineStr">
        <is>
          <t>제20조</t>
        </is>
      </c>
      <c r="L772" s="2" t="inlineStr">
        <is>
          <t>제20조(보고ㆍ검사)
① 재정경제부장관은 이 법의 실효성을 확보하기 위하여 거래 당사자 또는 관계인으로 하여금 필요한 보고를 하게 할 수 있으며, 비거주자에 대한 채권을 보유하고 있는 거주자로 하여금 대통령령으로 정하는 바에 따라 그 보유 채권의 현황을 재정경제부장관에게 보고하게 할 수 있다. 
② 재정경제부장관은 이 법을 시행하기 위하여 필요하다고 인정되</t>
        </is>
      </c>
    </row>
    <row r="773">
      <c r="A773" s="2" t="inlineStr">
        <is>
          <t>REG-0772</t>
        </is>
      </c>
      <c r="B773" s="2" t="inlineStr">
        <is>
          <t>규정형</t>
        </is>
      </c>
      <c r="C773" s="2" t="inlineStr">
        <is>
          <t>외환</t>
        </is>
      </c>
      <c r="D773" s="2" t="inlineStr">
        <is>
          <t>외국환거래법</t>
        </is>
      </c>
      <c r="E773" s="2" t="inlineStr">
        <is>
          <t>article_locate</t>
        </is>
      </c>
      <c r="F773" s="2" t="inlineStr">
        <is>
          <t>「외국환거래법」에서 '부담금의 징수 및 이의신청' 관련 규정은 제 몇 조인가?</t>
        </is>
      </c>
      <c r="G773" s="2" t="inlineStr">
        <is>
          <t>span</t>
        </is>
      </c>
      <c r="H773" s="2" t="inlineStr">
        <is>
          <t>제11조의3</t>
        </is>
      </c>
      <c r="I773" s="2" t="inlineStr"/>
      <c r="J773" s="2" t="inlineStr">
        <is>
          <t>국가법령정보센터 Open API (www.law.go.kr) — 외국환거래법 (시행 20260102)</t>
        </is>
      </c>
      <c r="K773" s="2" t="inlineStr">
        <is>
          <t>제11조의3</t>
        </is>
      </c>
      <c r="L773" s="2" t="inlineStr">
        <is>
          <t>제11조의3(부담금의 징수 및 이의신청)
① 재정경제부장관은 금융회사등이 내야 하는 부담금을 대통령령으로 정하는 바에 따라 나누어 내게 할 수 있다. 
② 재정경제부장관은 금융회사등이 부담금을 납부기한까지 내지 아니하면 납부기한이 지난 후 10일 이내에 10일 이상의 기간을 정하여 독촉장을 발급하여야 한다. 
③ 재정경제부장관은 체납된 부담금에 대하여는 1</t>
        </is>
      </c>
    </row>
    <row r="774">
      <c r="A774" s="2" t="inlineStr">
        <is>
          <t>REG-0773</t>
        </is>
      </c>
      <c r="B774" s="2" t="inlineStr">
        <is>
          <t>규정형</t>
        </is>
      </c>
      <c r="C774" s="2" t="inlineStr">
        <is>
          <t>외환</t>
        </is>
      </c>
      <c r="D774" s="2" t="inlineStr">
        <is>
          <t>외국환거래법</t>
        </is>
      </c>
      <c r="E774" s="2" t="inlineStr">
        <is>
          <t>article_locate</t>
        </is>
      </c>
      <c r="F774" s="2" t="inlineStr">
        <is>
          <t>'사무처리 등' 조항은 「외국환거래법」의 몇 조에 있는가?</t>
        </is>
      </c>
      <c r="G774" s="2" t="inlineStr">
        <is>
          <t>span</t>
        </is>
      </c>
      <c r="H774" s="2" t="inlineStr">
        <is>
          <t>제25조</t>
        </is>
      </c>
      <c r="I774" s="2" t="inlineStr"/>
      <c r="J774" s="2" t="inlineStr">
        <is>
          <t>국가법령정보센터 Open API (www.law.go.kr) — 외국환거래법 (시행 20260102)</t>
        </is>
      </c>
      <c r="K774" s="2" t="inlineStr">
        <is>
          <t>제25조</t>
        </is>
      </c>
      <c r="L774" s="2" t="inlineStr">
        <is>
          <t>제25조(사무처리 등)
① 재정경제부장관은 이 법의 효율적인 운영과 실효성 확보를 위하여 필요하다고 인정되는 경우에는 사무처리나 지급 또는 수령의 절차와 그 밖에 필요한 사항을 정할 수 있다. 
② 재정경제부장관은 대통령령으로 정하는 바에 따라 외국환업무와 관련이 있거나 전문성을 갖춘 법인 또는 단체 중에서 하나 이상의 법인 또는 단체를 지정하여 외국환거래</t>
        </is>
      </c>
    </row>
    <row r="775">
      <c r="A775" s="2" t="inlineStr">
        <is>
          <t>REG-0774</t>
        </is>
      </c>
      <c r="B775" s="2" t="inlineStr">
        <is>
          <t>규정형</t>
        </is>
      </c>
      <c r="C775" s="2" t="inlineStr">
        <is>
          <t>외환</t>
        </is>
      </c>
      <c r="D775" s="2" t="inlineStr">
        <is>
          <t>외국환거래법</t>
        </is>
      </c>
      <c r="E775" s="2" t="inlineStr">
        <is>
          <t>article_locate</t>
        </is>
      </c>
      <c r="F775" s="2" t="inlineStr">
        <is>
          <t>「외국환거래법」의 어느 조문이 '양벌규정'을 다루는가?</t>
        </is>
      </c>
      <c r="G775" s="2" t="inlineStr">
        <is>
          <t>span</t>
        </is>
      </c>
      <c r="H775" s="2" t="inlineStr">
        <is>
          <t>제31조</t>
        </is>
      </c>
      <c r="I775" s="2" t="inlineStr"/>
      <c r="J775" s="2" t="inlineStr">
        <is>
          <t>국가법령정보센터 Open API (www.law.go.kr) — 외국환거래법 (시행 20260102)</t>
        </is>
      </c>
      <c r="K775" s="2" t="inlineStr">
        <is>
          <t>제31조</t>
        </is>
      </c>
      <c r="L775" s="2" t="inlineStr">
        <is>
          <t>제31조(양벌규정) 법인의 대표자나 법인 또는 개인의 대리인, 사용인, 그 밖의 종업원이 그 법인 또는 개인의 재산 또는 업무에 관하여 제27조, 제27조의2, 제28조 및 제29조의 어느 하나에 해당하는 위반행위를 하면 그 행위자를 벌하는 외에 그 법인 또는 개인에게도 해당 조문의 벌금형을 과(科)한다. 다만, 법인 또는 개인이 그 위반행위를 방지하기 위</t>
        </is>
      </c>
    </row>
    <row r="776">
      <c r="A776" s="2" t="inlineStr">
        <is>
          <t>REG-0775</t>
        </is>
      </c>
      <c r="B776" s="2" t="inlineStr">
        <is>
          <t>규정형</t>
        </is>
      </c>
      <c r="C776" s="2" t="inlineStr">
        <is>
          <t>외환</t>
        </is>
      </c>
      <c r="D776" s="2" t="inlineStr">
        <is>
          <t>외국환거래법</t>
        </is>
      </c>
      <c r="E776" s="2" t="inlineStr">
        <is>
          <t>article_locate</t>
        </is>
      </c>
      <c r="F776" s="2" t="inlineStr">
        <is>
          <t>「외국환거래법」에서 '업무상의 의무' 관련 규정은 제 몇 조인가?</t>
        </is>
      </c>
      <c r="G776" s="2" t="inlineStr">
        <is>
          <t>span</t>
        </is>
      </c>
      <c r="H776" s="2" t="inlineStr">
        <is>
          <t>제10조</t>
        </is>
      </c>
      <c r="I776" s="2" t="inlineStr"/>
      <c r="J776" s="2" t="inlineStr">
        <is>
          <t>국가법령정보센터 Open API (www.law.go.kr) — 외국환거래법 (시행 20260102)</t>
        </is>
      </c>
      <c r="K776" s="2" t="inlineStr">
        <is>
          <t>제10조</t>
        </is>
      </c>
      <c r="L776" s="2" t="inlineStr">
        <is>
          <t xml:space="preserve">제10조(업무상의 의무)
① 외국환업무취급기관, 전문외국환업무취급업자 및 외국환중개회사(이하 "외국환업무취급기관등"이라 한다)는 그 고객과 이 법을 적용받는 거래를 할 때에는 고객의 거래나 지급 또는 수령이 이 법에 따른 허가를 받았거나 신고를 한 것인지를 확인하여야 한다. 다만, 외국환수급 안정과 대외거래 원활화를 위하여 재정경제부장관이 정하여 고시하는 </t>
        </is>
      </c>
    </row>
    <row r="777">
      <c r="A777" s="2" t="inlineStr">
        <is>
          <t>REG-0776</t>
        </is>
      </c>
      <c r="B777" s="2" t="inlineStr">
        <is>
          <t>규정형</t>
        </is>
      </c>
      <c r="C777" s="2" t="inlineStr">
        <is>
          <t>외환</t>
        </is>
      </c>
      <c r="D777" s="2" t="inlineStr">
        <is>
          <t>외국환거래법</t>
        </is>
      </c>
      <c r="E777" s="2" t="inlineStr">
        <is>
          <t>article_locate</t>
        </is>
      </c>
      <c r="F777" s="2" t="inlineStr">
        <is>
          <t>「외국환거래법」의 어느 조문이 '업무의 감독과 건전성 규제 등'을 다루는가?</t>
        </is>
      </c>
      <c r="G777" s="2" t="inlineStr">
        <is>
          <t>span</t>
        </is>
      </c>
      <c r="H777" s="2" t="inlineStr">
        <is>
          <t>제11조</t>
        </is>
      </c>
      <c r="I777" s="2" t="inlineStr"/>
      <c r="J777" s="2" t="inlineStr">
        <is>
          <t>국가법령정보센터 Open API (www.law.go.kr) — 외국환거래법 (시행 20260102)</t>
        </is>
      </c>
      <c r="K777" s="2" t="inlineStr">
        <is>
          <t>제11조</t>
        </is>
      </c>
      <c r="L777" s="2" t="inlineStr">
        <is>
          <t>제11조(업무의 감독과 건전성 규제 등)
① 재정경제부장관은 외국환업무취급기관등(외국환업무취급기관등의 외국에 있는 영업소를 포함한다. 이하 이 조에서 같다)의 업무를 감독하고 감독상 필요한 명령을 할 수 있다. 
② 재정경제부장관은 외환시장의 안정과 외국환업무취급기관등의 건전성을 유지하기 위하여 필요하다고 인정되는 경우에는 외국환업무취급기관등의 외국통화 자</t>
        </is>
      </c>
    </row>
    <row r="778">
      <c r="A778" s="2" t="inlineStr">
        <is>
          <t>REG-0777</t>
        </is>
      </c>
      <c r="B778" s="2" t="inlineStr">
        <is>
          <t>규정형</t>
        </is>
      </c>
      <c r="C778" s="2" t="inlineStr">
        <is>
          <t>외환</t>
        </is>
      </c>
      <c r="D778" s="2" t="inlineStr">
        <is>
          <t>외국환거래법</t>
        </is>
      </c>
      <c r="E778" s="2" t="inlineStr">
        <is>
          <t>article_locate</t>
        </is>
      </c>
      <c r="F778" s="2" t="inlineStr">
        <is>
          <t>「외국환거래법」에서 '외국환거래의 비밀보장'을 규정한 조문은 몇 조인가?</t>
        </is>
      </c>
      <c r="G778" s="2" t="inlineStr">
        <is>
          <t>span</t>
        </is>
      </c>
      <c r="H778" s="2" t="inlineStr">
        <is>
          <t>제22조</t>
        </is>
      </c>
      <c r="I778" s="2" t="inlineStr"/>
      <c r="J778" s="2" t="inlineStr">
        <is>
          <t>국가법령정보센터 Open API (www.law.go.kr) — 외국환거래법 (시행 20260102)</t>
        </is>
      </c>
      <c r="K778" s="2" t="inlineStr">
        <is>
          <t>제22조</t>
        </is>
      </c>
      <c r="L778" s="2" t="inlineStr">
        <is>
          <t>제22조(외국환거래의 비밀보장) 이 법에 따른 허가ㆍ인가ㆍ등록ㆍ신고ㆍ보고ㆍ통보ㆍ중개(仲介)ㆍ중계(中繼)ㆍ집중(集中)ㆍ교환 등의 업무에 종사하는 사람은 그 업무와 관련하여 알게 된 정보를 「금융실명거래 및 비밀보장에 관한 법률」 제4조에서 정하는 경우를 제외하고는 이 법에서 정하는 용도가 아닌 용도로 사용하거나 다른 사람에게 누설하여서는 아니 된다.</t>
        </is>
      </c>
    </row>
    <row r="779">
      <c r="A779" s="2" t="inlineStr">
        <is>
          <t>REG-0778</t>
        </is>
      </c>
      <c r="B779" s="2" t="inlineStr">
        <is>
          <t>규정형</t>
        </is>
      </c>
      <c r="C779" s="2" t="inlineStr">
        <is>
          <t>외환</t>
        </is>
      </c>
      <c r="D779" s="2" t="inlineStr">
        <is>
          <t>외국환거래법</t>
        </is>
      </c>
      <c r="E779" s="2" t="inlineStr">
        <is>
          <t>article_locate</t>
        </is>
      </c>
      <c r="F779" s="2" t="inlineStr">
        <is>
          <t>「외국환거래법」에서 '외국환거래의 정지 등' 관련 규정은 제 몇 조인가?</t>
        </is>
      </c>
      <c r="G779" s="2" t="inlineStr">
        <is>
          <t>span</t>
        </is>
      </c>
      <c r="H779" s="2" t="inlineStr">
        <is>
          <t>제6조</t>
        </is>
      </c>
      <c r="I779" s="2" t="inlineStr"/>
      <c r="J779" s="2" t="inlineStr">
        <is>
          <t>국가법령정보센터 Open API (www.law.go.kr) — 외국환거래법 (시행 20260102)</t>
        </is>
      </c>
      <c r="K779" s="2" t="inlineStr">
        <is>
          <t>제6조</t>
        </is>
      </c>
      <c r="L779" s="2" t="inlineStr">
        <is>
          <t xml:space="preserve">제6조(외국환거래의 정지 등)
① 재정경제부장관은 천재지변, 전시ㆍ사변, 국내외 경제사정의 중대하고도 급격한 변동, 그 밖에 이에 준하는 사태가 발생하여 부득이 하다고 인정되는 경우에는 대통령령으로 정하는 바에 따라 다음 각 호의 어느 하나에 해당하는 조치를 할 수 있다. 
1. 이 법을 적용받는 지급 또는 수령, 거래의 전부 또는 일부에 대한 일시 정지
</t>
        </is>
      </c>
    </row>
    <row r="780">
      <c r="A780" s="2" t="inlineStr">
        <is>
          <t>REG-0779</t>
        </is>
      </c>
      <c r="B780" s="2" t="inlineStr">
        <is>
          <t>규정형</t>
        </is>
      </c>
      <c r="C780" s="2" t="inlineStr">
        <is>
          <t>외환</t>
        </is>
      </c>
      <c r="D780" s="2" t="inlineStr">
        <is>
          <t>외국환거래법</t>
        </is>
      </c>
      <c r="E780" s="2" t="inlineStr">
        <is>
          <t>article_locate</t>
        </is>
      </c>
      <c r="F780" s="2" t="inlineStr">
        <is>
          <t>「외국환거래법」에서 '외국환업무에 필요한 일부 사무의 위탁' 관련 규정은 제 몇 조인가?</t>
        </is>
      </c>
      <c r="G780" s="2" t="inlineStr">
        <is>
          <t>span</t>
        </is>
      </c>
      <c r="H780" s="2" t="inlineStr">
        <is>
          <t>제10조의2</t>
        </is>
      </c>
      <c r="I780" s="2" t="inlineStr"/>
      <c r="J780" s="2" t="inlineStr">
        <is>
          <t>국가법령정보센터 Open API (www.law.go.kr) — 외국환거래법 (시행 20260102)</t>
        </is>
      </c>
      <c r="K780" s="2" t="inlineStr">
        <is>
          <t>제10조의2</t>
        </is>
      </c>
      <c r="L780" s="2" t="inlineStr">
        <is>
          <t>제10조의2(외국환업무에 필요한 일부 사무의 위탁)
① 외국환업무취급기관등(이하 이 조에서 "위탁기관"이라 한다)은 외국환 매매 또는 지급ㆍ수령 등의 업무 수행에 필요한 일부 사무로서 대통령령으로 정하는 사무를 다른 외국환업무취급기관등 또는 그 밖에 대통령령으로 정하는 자(이하 이 조에서 "수탁기관"이라 한다)에게 위탁할 수 있다. 이 경우 수탁기관은 제1</t>
        </is>
      </c>
    </row>
    <row r="781">
      <c r="A781" s="2" t="inlineStr">
        <is>
          <t>REG-0780</t>
        </is>
      </c>
      <c r="B781" s="2" t="inlineStr">
        <is>
          <t>규정형</t>
        </is>
      </c>
      <c r="C781" s="2" t="inlineStr">
        <is>
          <t>외환</t>
        </is>
      </c>
      <c r="D781" s="2" t="inlineStr">
        <is>
          <t>외국환거래법</t>
        </is>
      </c>
      <c r="E781" s="2" t="inlineStr">
        <is>
          <t>article_locate</t>
        </is>
      </c>
      <c r="F781" s="2" t="inlineStr">
        <is>
          <t>「외국환거래법」에서 '외국환업무의 등록 등'을 규정한 조문은 몇 조인가?</t>
        </is>
      </c>
      <c r="G781" s="2" t="inlineStr">
        <is>
          <t>span</t>
        </is>
      </c>
      <c r="H781" s="2" t="inlineStr">
        <is>
          <t>제8조</t>
        </is>
      </c>
      <c r="I781" s="2" t="inlineStr"/>
      <c r="J781" s="2" t="inlineStr">
        <is>
          <t>국가법령정보센터 Open API (www.law.go.kr) — 외국환거래법 (시행 20260102)</t>
        </is>
      </c>
      <c r="K781" s="2" t="inlineStr">
        <is>
          <t>제8조</t>
        </is>
      </c>
      <c r="L781" s="2" t="inlineStr">
        <is>
          <t>제8조(외국환업무의 등록 등)
① 외국환업무를 업으로 하려는 자는 대통령령으로 정하는 바에 따라 외국환업무를 하는 데에 충분한 자본ㆍ시설 및 전문인력을 갖추어 미리 재정경제부장관에게 등록하여야 한다. 다만, 재정경제부장관이 업무의 내용을 고려하여 등록이 필요하지 아니하다고 인정하여 대통령령으로 정하는 금융회사등은 그러하지 아니하다. 
② 외국환업무는 금융회</t>
        </is>
      </c>
    </row>
    <row r="782">
      <c r="A782" s="2" t="inlineStr">
        <is>
          <t>REG-0781</t>
        </is>
      </c>
      <c r="B782" s="2" t="inlineStr">
        <is>
          <t>규정형</t>
        </is>
      </c>
      <c r="C782" s="2" t="inlineStr">
        <is>
          <t>외환</t>
        </is>
      </c>
      <c r="D782" s="2" t="inlineStr">
        <is>
          <t>외국환거래법</t>
        </is>
      </c>
      <c r="E782" s="2" t="inlineStr">
        <is>
          <t>article_locate</t>
        </is>
      </c>
      <c r="F782" s="2" t="inlineStr">
        <is>
          <t>'외국환중개업무 등' 조항은 「외국환거래법」의 몇 조에 있는가?</t>
        </is>
      </c>
      <c r="G782" s="2" t="inlineStr">
        <is>
          <t>span</t>
        </is>
      </c>
      <c r="H782" s="2" t="inlineStr">
        <is>
          <t>제9조</t>
        </is>
      </c>
      <c r="I782" s="2" t="inlineStr"/>
      <c r="J782" s="2" t="inlineStr">
        <is>
          <t>국가법령정보센터 Open API (www.law.go.kr) — 외국환거래법 (시행 20260102)</t>
        </is>
      </c>
      <c r="K782" s="2" t="inlineStr">
        <is>
          <t>제9조</t>
        </is>
      </c>
      <c r="L782" s="2" t="inlineStr">
        <is>
          <t>제9조(외국환중개업무 등)
① 외국환중개업무를 업으로 하려는 자는 다음 각 호의 구분에 따른 업종별로 대통령령으로 정하는 바에 따라 자본ㆍ시설 및 전문인력을 갖추어 재정경제부장관의 인가를 받아야 한다. 이 경우 인가를 받은 사항 중 대통령령으로 정하는 중요 사항을 변경하려면 재정경제부장관에게 신고하여야 한다. 
1. 일반외국환중개업: 외국환거래 관련 전문성</t>
        </is>
      </c>
    </row>
    <row r="783">
      <c r="A783" s="2" t="inlineStr">
        <is>
          <t>REG-0782</t>
        </is>
      </c>
      <c r="B783" s="2" t="inlineStr">
        <is>
          <t>규정형</t>
        </is>
      </c>
      <c r="C783" s="2" t="inlineStr">
        <is>
          <t>퇴직연금</t>
        </is>
      </c>
      <c r="D783" s="2" t="inlineStr">
        <is>
          <t>근로자퇴직급여 보장법</t>
        </is>
      </c>
      <c r="E783" s="2" t="inlineStr">
        <is>
          <t>article_locate</t>
        </is>
      </c>
      <c r="F783" s="2" t="inlineStr">
        <is>
          <t>「근로자퇴직급여 보장법」에서 '10명 미만을 사용하는 사업에 대한 특례'를 규정한 조문은 몇 조인가?</t>
        </is>
      </c>
      <c r="G783" s="2" t="inlineStr">
        <is>
          <t>span</t>
        </is>
      </c>
      <c r="H783" s="2" t="inlineStr">
        <is>
          <t>제25조</t>
        </is>
      </c>
      <c r="I783" s="2" t="inlineStr"/>
      <c r="J783" s="2" t="inlineStr">
        <is>
          <t>국가법령정보센터 Open API (www.law.go.kr) — 근로자퇴직급여 보장법 (시행 20260701)</t>
        </is>
      </c>
      <c r="K783" s="2" t="inlineStr">
        <is>
          <t>제25조</t>
        </is>
      </c>
      <c r="L783" s="2" t="inlineStr">
        <is>
          <t>제25조(10명 미만을 사용하는 사업에 대한 특례)
① 상시 10명 미만의 근로자를 사용하는 사업의 경우 제4조제1항 및 제5조에도 불구하고 사용자가 개별 근로자의 동의를 받거나 근로자의 요구에 따라 개인형퇴직연금제도를 설정하는 경우에는 해당 근로자에 대하여 퇴직급여제도를 설정한 것으로 본다.
② 제1항에 따라 개인형퇴직연금제도를 설정하는 경우에는 다음 각</t>
        </is>
      </c>
    </row>
    <row r="784">
      <c r="A784" s="2" t="inlineStr">
        <is>
          <t>REG-0783</t>
        </is>
      </c>
      <c r="B784" s="2" t="inlineStr">
        <is>
          <t>규정형</t>
        </is>
      </c>
      <c r="C784" s="2" t="inlineStr">
        <is>
          <t>퇴직연금</t>
        </is>
      </c>
      <c r="D784" s="2" t="inlineStr">
        <is>
          <t>근로자퇴직급여 보장법</t>
        </is>
      </c>
      <c r="E784" s="2" t="inlineStr">
        <is>
          <t>article_locate</t>
        </is>
      </c>
      <c r="F784" s="2" t="inlineStr">
        <is>
          <t>'가입자에 대한 둘 이상의 퇴직연금제도 설정' 조항은 「근로자퇴직급여 보장법」의 몇 조에 있는가?</t>
        </is>
      </c>
      <c r="G784" s="2" t="inlineStr">
        <is>
          <t>span</t>
        </is>
      </c>
      <c r="H784" s="2" t="inlineStr">
        <is>
          <t>제6조</t>
        </is>
      </c>
      <c r="I784" s="2" t="inlineStr"/>
      <c r="J784" s="2" t="inlineStr">
        <is>
          <t>국가법령정보센터 Open API (www.law.go.kr) — 근로자퇴직급여 보장법 (시행 20260701)</t>
        </is>
      </c>
      <c r="K784" s="2" t="inlineStr">
        <is>
          <t>제6조</t>
        </is>
      </c>
      <c r="L784" s="2" t="inlineStr">
        <is>
          <t>제6조(가입자에 대한 둘 이상의 퇴직연금제도 설정)
① 사용자가 가입자에 대하여 확정급여형퇴직연금제도 및 확정기여형퇴직연금제도를 함께 설정하는 경우 제15조 및 제20조제1항에도 불구하고 확정급여형퇴직연금제도의 급여 및 확정기여형퇴직연금제도의 부담금 수준은 다음 각 호에 따른다.
1. 확정급여형퇴직연금제도의 급여: 제15조에 따른 급여수준에 확정급여형퇴직연</t>
        </is>
      </c>
    </row>
    <row r="785">
      <c r="A785" s="2" t="inlineStr">
        <is>
          <t>REG-0784</t>
        </is>
      </c>
      <c r="B785" s="2" t="inlineStr">
        <is>
          <t>규정형</t>
        </is>
      </c>
      <c r="C785" s="2" t="inlineStr">
        <is>
          <t>퇴직연금</t>
        </is>
      </c>
      <c r="D785" s="2" t="inlineStr">
        <is>
          <t>근로자퇴직급여 보장법</t>
        </is>
      </c>
      <c r="E785" s="2" t="inlineStr">
        <is>
          <t>article_locate</t>
        </is>
      </c>
      <c r="F785" s="2" t="inlineStr">
        <is>
          <t>「근로자퇴직급여 보장법」의 어느 조문이 '가입자의 사전지정운용방법 선정'을 다루는가?</t>
        </is>
      </c>
      <c r="G785" s="2" t="inlineStr">
        <is>
          <t>span</t>
        </is>
      </c>
      <c r="H785" s="2" t="inlineStr">
        <is>
          <t>제21조의4</t>
        </is>
      </c>
      <c r="I785" s="2" t="inlineStr"/>
      <c r="J785" s="2" t="inlineStr">
        <is>
          <t>국가법령정보센터 Open API (www.law.go.kr) — 근로자퇴직급여 보장법 (시행 20260701)</t>
        </is>
      </c>
      <c r="K785" s="2" t="inlineStr">
        <is>
          <t>제21조의4</t>
        </is>
      </c>
      <c r="L785" s="2" t="inlineStr">
        <is>
          <t>제21조의4(가입자의 사전지정운용방법 선정)
① 사전지정운용방법으로 적립금을 운용하고 있지 아니하는 확정기여형퇴직연금제도의 가입자는 운용관리업무를 수행하는 퇴직연금사업자의 사전지정운용방법 중 제21조의2제1항 각 호의 어느 하나의 운용유형을 사전지정운용방법으로 선정할 수 있다. 다만, 제21조의2제1항제2호의 운용유형만 사전지정운용방법으로 선정하는 경우에는</t>
        </is>
      </c>
    </row>
    <row r="786">
      <c r="A786" s="2" t="inlineStr">
        <is>
          <t>REG-0785</t>
        </is>
      </c>
      <c r="B786" s="2" t="inlineStr">
        <is>
          <t>규정형</t>
        </is>
      </c>
      <c r="C786" s="2" t="inlineStr">
        <is>
          <t>퇴직연금</t>
        </is>
      </c>
      <c r="D786" s="2" t="inlineStr">
        <is>
          <t>근로자퇴직급여 보장법</t>
        </is>
      </c>
      <c r="E786" s="2" t="inlineStr">
        <is>
          <t>article_locate</t>
        </is>
      </c>
      <c r="F786" s="2" t="inlineStr">
        <is>
          <t>'개인형퇴직연금제도의 설정 및 운영 등' 조항은 「근로자퇴직급여 보장법」의 몇 조에 있는가?</t>
        </is>
      </c>
      <c r="G786" s="2" t="inlineStr">
        <is>
          <t>span</t>
        </is>
      </c>
      <c r="H786" s="2" t="inlineStr">
        <is>
          <t>제24조</t>
        </is>
      </c>
      <c r="I786" s="2" t="inlineStr"/>
      <c r="J786" s="2" t="inlineStr">
        <is>
          <t>국가법령정보센터 Open API (www.law.go.kr) — 근로자퇴직급여 보장법 (시행 20260701)</t>
        </is>
      </c>
      <c r="K786" s="2" t="inlineStr">
        <is>
          <t>제24조</t>
        </is>
      </c>
      <c r="L786" s="2" t="inlineStr">
        <is>
          <t>제24조(개인형퇴직연금제도의 설정 및 운영 등)
① 퇴직연금사업자는 개인형퇴직연금제도를 운영할 수 있다.
② 다음 각 호의 어느 하나에 해당하는 사람은 개인형퇴직연금제도를 설정할 수 있다. 
1. 퇴직급여제도의 일시금을 수령한 사람
2. 확정급여형퇴직연금제도, 확정기여형퇴직연금제도 또는 중소기업퇴직연금기금제도의 가입자로서 자기의 부담으로 개인형퇴직연금제도를</t>
        </is>
      </c>
    </row>
    <row r="787">
      <c r="A787" s="2" t="inlineStr">
        <is>
          <t>REG-0786</t>
        </is>
      </c>
      <c r="B787" s="2" t="inlineStr">
        <is>
          <t>규정형</t>
        </is>
      </c>
      <c r="C787" s="2" t="inlineStr">
        <is>
          <t>퇴직연금</t>
        </is>
      </c>
      <c r="D787" s="2" t="inlineStr">
        <is>
          <t>근로자퇴직급여 보장법</t>
        </is>
      </c>
      <c r="E787" s="2" t="inlineStr">
        <is>
          <t>article_locate</t>
        </is>
      </c>
      <c r="F787" s="2" t="inlineStr">
        <is>
          <t>'공단의 책무' 조항은 「근로자퇴직급여 보장법」의 몇 조에 있는가?</t>
        </is>
      </c>
      <c r="G787" s="2" t="inlineStr">
        <is>
          <t>span</t>
        </is>
      </c>
      <c r="H787" s="2" t="inlineStr">
        <is>
          <t>제23조의15</t>
        </is>
      </c>
      <c r="I787" s="2" t="inlineStr"/>
      <c r="J787" s="2" t="inlineStr">
        <is>
          <t>국가법령정보센터 Open API (www.law.go.kr) — 근로자퇴직급여 보장법 (시행 20260701)</t>
        </is>
      </c>
      <c r="K787" s="2" t="inlineStr">
        <is>
          <t>제23조의15</t>
        </is>
      </c>
      <c r="L787" s="2" t="inlineStr">
        <is>
          <t>제23조의15(공단의 책무)
① 공단은 중소기업퇴직연금기금제도 가입자에 대하여 중소기업퇴직연금기금제도 운영 상황 등 대통령령으로 정하는 사항에 대하여 매년 1회 이상 교육을 실시하여야 한다.
② 공단은 매년 중소기업퇴직연금기금제도의 취급실적, 운용현황 및 수익률 등을 대통령령으로 정하는 바에 따라 공시하여야 한다.
③ 공단은 중소기업퇴직연금기금표준계약서 내</t>
        </is>
      </c>
    </row>
    <row r="788">
      <c r="A788" s="2" t="inlineStr">
        <is>
          <t>REG-0787</t>
        </is>
      </c>
      <c r="B788" s="2" t="inlineStr">
        <is>
          <t>규정형</t>
        </is>
      </c>
      <c r="C788" s="2" t="inlineStr">
        <is>
          <t>퇴직연금</t>
        </is>
      </c>
      <c r="D788" s="2" t="inlineStr">
        <is>
          <t>근로자퇴직급여 보장법</t>
        </is>
      </c>
      <c r="E788" s="2" t="inlineStr">
        <is>
          <t>article_locate</t>
        </is>
      </c>
      <c r="F788" s="2" t="inlineStr">
        <is>
          <t>'과태료' 조항은 「근로자퇴직급여 보장법」의 몇 조에 있는가?</t>
        </is>
      </c>
      <c r="G788" s="2" t="inlineStr">
        <is>
          <t>span</t>
        </is>
      </c>
      <c r="H788" s="2" t="inlineStr">
        <is>
          <t>제48조</t>
        </is>
      </c>
      <c r="I788" s="2" t="inlineStr"/>
      <c r="J788" s="2" t="inlineStr">
        <is>
          <t>국가법령정보센터 Open API (www.law.go.kr) — 근로자퇴직급여 보장법 (시행 20260701)</t>
        </is>
      </c>
      <c r="K788" s="2" t="inlineStr">
        <is>
          <t>제48조</t>
        </is>
      </c>
      <c r="L788" s="2" t="inlineStr">
        <is>
          <t>제48조(과태료)
① 다음 각 호의 어느 하나에 해당하는 자에게는 1천만원 이하의 과태료를 부과한다. 
1. 제16조제2항을 위반하여 적립금이 최소적립금을 넘고 있는지 확인하여 그 결과를 사용자에게 알리지 아니하거나, 적립금이 최소적립금보다 적은 경우 그 확인 결과를 근로자대표에게 알리지 아니한 퇴직연금사업자
2. 제16조제3항에 따른 적립금 부족을 해소하</t>
        </is>
      </c>
    </row>
    <row r="789">
      <c r="A789" s="2" t="inlineStr">
        <is>
          <t>REG-0788</t>
        </is>
      </c>
      <c r="B789" s="2" t="inlineStr">
        <is>
          <t>규정형</t>
        </is>
      </c>
      <c r="C789" s="2" t="inlineStr">
        <is>
          <t>퇴직연금</t>
        </is>
      </c>
      <c r="D789" s="2" t="inlineStr">
        <is>
          <t>근로자퇴직급여 보장법</t>
        </is>
      </c>
      <c r="E789" s="2" t="inlineStr">
        <is>
          <t>article_locate</t>
        </is>
      </c>
      <c r="F789" s="2" t="inlineStr">
        <is>
          <t>「근로자퇴직급여 보장법」에서 '국가의 지원' 관련 규정은 제 몇 조인가?</t>
        </is>
      </c>
      <c r="G789" s="2" t="inlineStr">
        <is>
          <t>span</t>
        </is>
      </c>
      <c r="H789" s="2" t="inlineStr">
        <is>
          <t>제23조의14</t>
        </is>
      </c>
      <c r="I789" s="2" t="inlineStr"/>
      <c r="J789" s="2" t="inlineStr">
        <is>
          <t>국가법령정보센터 Open API (www.law.go.kr) — 근로자퇴직급여 보장법 (시행 20260701)</t>
        </is>
      </c>
      <c r="K789" s="2" t="inlineStr">
        <is>
          <t>제23조의14</t>
        </is>
      </c>
      <c r="L789" s="2" t="inlineStr">
        <is>
          <t>제23조의14(국가의 지원)
① 국가는 중소기업퇴직연금기금제도에 가입하는 사업의 재정적 부담을 경감하고, 근로자 및 「산업재해보상보험법」 제91조의15에 해당하는 노무제공자 등의 중소기업퇴직연금 가입을 촉진하기 위하여 고용노동부장관이 정하는 요건에 해당하는 경우 사용자부담금, 가입자부담금 또는 중소기업퇴직연금기금제도 운영에 따른 비용의 일부 등을 예산의 범</t>
        </is>
      </c>
    </row>
    <row r="790">
      <c r="A790" s="2" t="inlineStr">
        <is>
          <t>REG-0789</t>
        </is>
      </c>
      <c r="B790" s="2" t="inlineStr">
        <is>
          <t>규정형</t>
        </is>
      </c>
      <c r="C790" s="2" t="inlineStr">
        <is>
          <t>퇴직연금</t>
        </is>
      </c>
      <c r="D790" s="2" t="inlineStr">
        <is>
          <t>근로자퇴직급여 보장법</t>
        </is>
      </c>
      <c r="E790" s="2" t="inlineStr">
        <is>
          <t>article_locate</t>
        </is>
      </c>
      <c r="F790" s="2" t="inlineStr">
        <is>
          <t>'권한의 위임ㆍ위탁' 조항은 「근로자퇴직급여 보장법」의 몇 조에 있는가?</t>
        </is>
      </c>
      <c r="G790" s="2" t="inlineStr">
        <is>
          <t>span</t>
        </is>
      </c>
      <c r="H790" s="2" t="inlineStr">
        <is>
          <t>제42조</t>
        </is>
      </c>
      <c r="I790" s="2" t="inlineStr"/>
      <c r="J790" s="2" t="inlineStr">
        <is>
          <t>국가법령정보센터 Open API (www.law.go.kr) — 근로자퇴직급여 보장법 (시행 20260701)</t>
        </is>
      </c>
      <c r="K790" s="2" t="inlineStr">
        <is>
          <t>제42조</t>
        </is>
      </c>
      <c r="L790" s="2" t="inlineStr">
        <is>
          <t xml:space="preserve">제42조(권한의 위임ㆍ위탁)
① 이 법에 따른 고용노동부장관의 권한은 대통령령으로 정하는 바에 따라 그 일부를 금융위원회, 금융감독원장 또는 공단(제23조의14에 따른 지원 및 환수와 환수금 징수업무, 제34조제2항 각 호의 업무로 한정한다)에 위탁하거나 지방고용노동관서의 장에게 위임할 수 있다. 
② 이 법에 따른 금융위원회의 권한은 대통령령으로 정하는 </t>
        </is>
      </c>
    </row>
    <row r="791">
      <c r="A791" s="2" t="inlineStr">
        <is>
          <t>REG-0790</t>
        </is>
      </c>
      <c r="B791" s="2" t="inlineStr">
        <is>
          <t>규정형</t>
        </is>
      </c>
      <c r="C791" s="2" t="inlineStr">
        <is>
          <t>퇴직연금</t>
        </is>
      </c>
      <c r="D791" s="2" t="inlineStr">
        <is>
          <t>근로자퇴직급여 보장법</t>
        </is>
      </c>
      <c r="E791" s="2" t="inlineStr">
        <is>
          <t>article_locate</t>
        </is>
      </c>
      <c r="F791" s="2" t="inlineStr">
        <is>
          <t>「근로자퇴직급여 보장법」에서 '금융거래정보의 제공 요청 등' 관련 규정은 제 몇 조인가?</t>
        </is>
      </c>
      <c r="G791" s="2" t="inlineStr">
        <is>
          <t>span</t>
        </is>
      </c>
      <c r="H791" s="2" t="inlineStr">
        <is>
          <t>제37조</t>
        </is>
      </c>
      <c r="I791" s="2" t="inlineStr"/>
      <c r="J791" s="2" t="inlineStr">
        <is>
          <t>국가법령정보센터 Open API (www.law.go.kr) — 근로자퇴직급여 보장법 (시행 20260701)</t>
        </is>
      </c>
      <c r="K791" s="2" t="inlineStr">
        <is>
          <t>제37조</t>
        </is>
      </c>
      <c r="L791" s="2" t="inlineStr">
        <is>
          <t>제37조(금융거래정보의 제공 요청 등)
① 고용노동부장관은 사용자가 제16조에 따른 급여 지급능력을 확보하였는지 등 퇴직연금제도 운영을 감독하기 위하여 필요한 경우 「금융실명거래 및 비밀보장에 관한 법률」 제4조 및 「신용정보의 이용 및 보호에 관한 법률」 제33조에도 불구하고 자산관리업무 및 운용관리업무 계약을 체결한 사업에 관한 다음 각 호의 금융거래에</t>
        </is>
      </c>
    </row>
    <row r="792">
      <c r="A792" s="2" t="inlineStr">
        <is>
          <t>REG-0791</t>
        </is>
      </c>
      <c r="B792" s="2" t="inlineStr">
        <is>
          <t>규정형</t>
        </is>
      </c>
      <c r="C792" s="2" t="inlineStr">
        <is>
          <t>퇴직연금</t>
        </is>
      </c>
      <c r="D792" s="2" t="inlineStr">
        <is>
          <t>근로자퇴직급여 보장법</t>
        </is>
      </c>
      <c r="E792" s="2" t="inlineStr">
        <is>
          <t>article_locate</t>
        </is>
      </c>
      <c r="F792" s="2" t="inlineStr">
        <is>
          <t>「근로자퇴직급여 보장법」에서 '급여 종류 및 수급요건 등' 관련 규정은 제 몇 조인가?</t>
        </is>
      </c>
      <c r="G792" s="2" t="inlineStr">
        <is>
          <t>span</t>
        </is>
      </c>
      <c r="H792" s="2" t="inlineStr">
        <is>
          <t>제17조</t>
        </is>
      </c>
      <c r="I792" s="2" t="inlineStr"/>
      <c r="J792" s="2" t="inlineStr">
        <is>
          <t>국가법령정보센터 Open API (www.law.go.kr) — 근로자퇴직급여 보장법 (시행 20260701)</t>
        </is>
      </c>
      <c r="K792" s="2" t="inlineStr">
        <is>
          <t>제17조</t>
        </is>
      </c>
      <c r="L792" s="2" t="inlineStr">
        <is>
          <t>제17조(급여 종류 및 수급요건 등)
① 확정급여형퇴직연금제도의 급여 종류는 연금 또는 일시금으로 하되, 수급요건은 다음 각 호와 같다.
1. 연금은 55세 이상으로서 가입기간이 10년 이상인 가입자에게 지급할 것. 이 경우 연금의 지급기간은 5년 이상이어야 한다.
2. 일시금은 연금수급 요건을 갖추지 못하거나 일시금 수급을 원하는 가입자에게 지급할 것
②</t>
        </is>
      </c>
    </row>
    <row r="793">
      <c r="A793" s="2" t="inlineStr">
        <is>
          <t>REG-0792</t>
        </is>
      </c>
      <c r="B793" s="2" t="inlineStr">
        <is>
          <t>규정형</t>
        </is>
      </c>
      <c r="C793" s="2" t="inlineStr">
        <is>
          <t>퇴직연금</t>
        </is>
      </c>
      <c r="D793" s="2" t="inlineStr">
        <is>
          <t>근로자퇴직급여 보장법</t>
        </is>
      </c>
      <c r="E793" s="2" t="inlineStr">
        <is>
          <t>article_locate</t>
        </is>
      </c>
      <c r="F793" s="2" t="inlineStr">
        <is>
          <t>「근로자퇴직급여 보장법」의 어느 조문이 '급여 지급능력 확보 등'을 다루는가?</t>
        </is>
      </c>
      <c r="G793" s="2" t="inlineStr">
        <is>
          <t>span</t>
        </is>
      </c>
      <c r="H793" s="2" t="inlineStr">
        <is>
          <t>제16조</t>
        </is>
      </c>
      <c r="I793" s="2" t="inlineStr"/>
      <c r="J793" s="2" t="inlineStr">
        <is>
          <t>국가법령정보센터 Open API (www.law.go.kr) — 근로자퇴직급여 보장법 (시행 20260701)</t>
        </is>
      </c>
      <c r="K793" s="2" t="inlineStr">
        <is>
          <t>제16조</t>
        </is>
      </c>
      <c r="L793" s="2" t="inlineStr">
        <is>
          <t>제16조(급여 지급능력 확보 등)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t>
        </is>
      </c>
    </row>
    <row r="794">
      <c r="A794" s="2" t="inlineStr">
        <is>
          <t>REG-0793</t>
        </is>
      </c>
      <c r="B794" s="2" t="inlineStr">
        <is>
          <t>규정형</t>
        </is>
      </c>
      <c r="C794" s="2" t="inlineStr">
        <is>
          <t>퇴직연금</t>
        </is>
      </c>
      <c r="D794" s="2" t="inlineStr">
        <is>
          <t>근로자퇴직급여 보장법</t>
        </is>
      </c>
      <c r="E794" s="2" t="inlineStr">
        <is>
          <t>article_locate</t>
        </is>
      </c>
      <c r="F794" s="2" t="inlineStr">
        <is>
          <t>「근로자퇴직급여 보장법」에서 '급여수준'을 규정한 조문은 몇 조인가?</t>
        </is>
      </c>
      <c r="G794" s="2" t="inlineStr">
        <is>
          <t>span</t>
        </is>
      </c>
      <c r="H794" s="2" t="inlineStr">
        <is>
          <t>제15조</t>
        </is>
      </c>
      <c r="I794" s="2" t="inlineStr"/>
      <c r="J794" s="2" t="inlineStr">
        <is>
          <t>국가법령정보센터 Open API (www.law.go.kr) — 근로자퇴직급여 보장법 (시행 20260701)</t>
        </is>
      </c>
      <c r="K794" s="2" t="inlineStr">
        <is>
          <t>제15조</t>
        </is>
      </c>
      <c r="L794" s="2" t="inlineStr">
        <is>
          <t xml:space="preserve">제15조(급여수준) 제13조제4호의 급여 수준은 가입자의 퇴직일을 기준으로 산정한 일시금이 계속근로기간 1년에 대하여 30일분 이상의 평균임금이 되도록 하여야 한다. </t>
        </is>
      </c>
    </row>
    <row r="795">
      <c r="A795" s="2" t="inlineStr">
        <is>
          <t>REG-0794</t>
        </is>
      </c>
      <c r="B795" s="2" t="inlineStr">
        <is>
          <t>규정형</t>
        </is>
      </c>
      <c r="C795" s="2" t="inlineStr">
        <is>
          <t>퇴직연금</t>
        </is>
      </c>
      <c r="D795" s="2" t="inlineStr">
        <is>
          <t>근로자퇴직급여 보장법</t>
        </is>
      </c>
      <c r="E795" s="2" t="inlineStr">
        <is>
          <t>article_locate</t>
        </is>
      </c>
      <c r="F795" s="2" t="inlineStr">
        <is>
          <t>「근로자퇴직급여 보장법」의 어느 조문이 '급여의 종류 및 수급요건 등'을 다루는가?</t>
        </is>
      </c>
      <c r="G795" s="2" t="inlineStr">
        <is>
          <t>span</t>
        </is>
      </c>
      <c r="H795" s="2" t="inlineStr">
        <is>
          <t>제23조의12</t>
        </is>
      </c>
      <c r="I795" s="2" t="inlineStr"/>
      <c r="J795" s="2" t="inlineStr">
        <is>
          <t>국가법령정보센터 Open API (www.law.go.kr) — 근로자퇴직급여 보장법 (시행 20260701)</t>
        </is>
      </c>
      <c r="K795" s="2" t="inlineStr">
        <is>
          <t>제23조의12</t>
        </is>
      </c>
      <c r="L795" s="2" t="inlineStr">
        <is>
          <t>제23조의12(급여의 종류 및 수급요건 등)
① 중소기업퇴직연금기금제도의 급여 종류 및 수급요건은 다음 각 호에 따른다.
1. 기금제도사용자부담금계정에 관하여는 제17조제1항을 준용한다. 이 경우 "확정급여형퇴직연금제도"는 "중소기업퇴직연금기금제도"로 본다.
2. 기금제도가입자부담금계정에 관하여는 대통령령으로 정한다.
② 기금제도사용자부담금계정에서 가입자에</t>
        </is>
      </c>
    </row>
    <row r="796">
      <c r="A796" s="2" t="inlineStr">
        <is>
          <t>REG-0795</t>
        </is>
      </c>
      <c r="B796" s="2" t="inlineStr">
        <is>
          <t>규정형</t>
        </is>
      </c>
      <c r="C796" s="2" t="inlineStr">
        <is>
          <t>퇴직연금</t>
        </is>
      </c>
      <c r="D796" s="2" t="inlineStr">
        <is>
          <t>근로자퇴직급여 보장법</t>
        </is>
      </c>
      <c r="E796" s="2" t="inlineStr">
        <is>
          <t>article_locate</t>
        </is>
      </c>
      <c r="F796" s="2" t="inlineStr">
        <is>
          <t>「근로자퇴직급여 보장법」의 어느 조문이 '기금 운용정보 제공'을 다루는가?</t>
        </is>
      </c>
      <c r="G796" s="2" t="inlineStr">
        <is>
          <t>span</t>
        </is>
      </c>
      <c r="H796" s="2" t="inlineStr">
        <is>
          <t>제23조의10</t>
        </is>
      </c>
      <c r="I796" s="2" t="inlineStr"/>
      <c r="J796" s="2" t="inlineStr">
        <is>
          <t>국가법령정보센터 Open API (www.law.go.kr) — 근로자퇴직급여 보장법 (시행 20260701)</t>
        </is>
      </c>
      <c r="K796" s="2" t="inlineStr">
        <is>
          <t>제23조의10</t>
        </is>
      </c>
      <c r="L796" s="2" t="inlineStr">
        <is>
          <t>제23조의10(기금 운용정보 제공) 공단은 중소기업퇴직연금기금 운용에 따라 발생하는 이익 및 손실 가능성 등의 정보를 대통령령으로 정하는 방법에 따라 중소기업퇴직연금기금제도 가입자에게 제공하여야 한다.</t>
        </is>
      </c>
    </row>
    <row r="797">
      <c r="A797" s="2" t="inlineStr">
        <is>
          <t>REG-0796</t>
        </is>
      </c>
      <c r="B797" s="2" t="inlineStr">
        <is>
          <t>규정형</t>
        </is>
      </c>
      <c r="C797" s="2" t="inlineStr">
        <is>
          <t>퇴직연금</t>
        </is>
      </c>
      <c r="D797" s="2" t="inlineStr">
        <is>
          <t>근로자퇴직급여 보장법</t>
        </is>
      </c>
      <c r="E797" s="2" t="inlineStr">
        <is>
          <t>article_locate</t>
        </is>
      </c>
      <c r="F797" s="2" t="inlineStr">
        <is>
          <t>「근로자퇴직급여 보장법」에서 '둘 이상의 사용자가 참여하는 확정기여형퇴직연금제도 설정'을 규정한 조문은 몇 조인가?</t>
        </is>
      </c>
      <c r="G797" s="2" t="inlineStr">
        <is>
          <t>span</t>
        </is>
      </c>
      <c r="H797" s="2" t="inlineStr">
        <is>
          <t>제23조</t>
        </is>
      </c>
      <c r="I797" s="2" t="inlineStr"/>
      <c r="J797" s="2" t="inlineStr">
        <is>
          <t>국가법령정보센터 Open API (www.law.go.kr) — 근로자퇴직급여 보장법 (시행 20260701)</t>
        </is>
      </c>
      <c r="K797" s="2" t="inlineStr">
        <is>
          <t>제23조</t>
        </is>
      </c>
      <c r="L797" s="2" t="inlineStr">
        <is>
          <t>제23조(둘 이상의 사용자가 참여하는 확정기여형퇴직연금제도 설정) 퇴직연금사업자가 둘 이상의 사용자를 대상으로 하나의 확정기여형퇴직연금제도 설정을 제안하려는 경우에는 다음 각 호의 사항에 대하여 고용노동부장관의 승인을 받아야 한다.
1. 다음 각 목의 사항이 포함된 확정기여형퇴직연금제도의 표준규약
가. 제19조제1항 각 호의 사항
나. 그 밖에 대통령령으로</t>
        </is>
      </c>
    </row>
    <row r="798">
      <c r="A798" s="2" t="inlineStr">
        <is>
          <t>REG-0797</t>
        </is>
      </c>
      <c r="B798" s="2" t="inlineStr">
        <is>
          <t>규정형</t>
        </is>
      </c>
      <c r="C798" s="2" t="inlineStr">
        <is>
          <t>퇴직연금</t>
        </is>
      </c>
      <c r="D798" s="2" t="inlineStr">
        <is>
          <t>근로자퇴직급여 보장법</t>
        </is>
      </c>
      <c r="E798" s="2" t="inlineStr">
        <is>
          <t>article_locate</t>
        </is>
      </c>
      <c r="F798" s="2" t="inlineStr">
        <is>
          <t>「근로자퇴직급여 보장법」에서 '모집업무의 위탁' 관련 규정은 제 몇 조인가?</t>
        </is>
      </c>
      <c r="G798" s="2" t="inlineStr">
        <is>
          <t>span</t>
        </is>
      </c>
      <c r="H798" s="2" t="inlineStr">
        <is>
          <t>제31조</t>
        </is>
      </c>
      <c r="I798" s="2" t="inlineStr"/>
      <c r="J798" s="2" t="inlineStr">
        <is>
          <t>국가법령정보센터 Open API (www.law.go.kr) — 근로자퇴직급여 보장법 (시행 20260701)</t>
        </is>
      </c>
      <c r="K798" s="2" t="inlineStr">
        <is>
          <t>제31조</t>
        </is>
      </c>
      <c r="L798" s="2" t="inlineStr">
        <is>
          <t>제31조(모집업무의 위탁)
① 퇴직연금사업자는 다음 각 호의 요건을 모두 갖춘 자(이하 " 퇴직연금제도 모집인")에게 퇴직연금제도를 설정하거나 가입할 자를 모집하는 업무(이하 "모집업무")로서 대통령령으로 정하는 업무를 위탁할 수 있다. 
1. 제2항에 따라 고용노동부장관에게 등록된 자가 아닐 것
2. 퇴직연금제도에 대한 전문 지식이 있는 자로서 대통령령으</t>
        </is>
      </c>
    </row>
    <row r="799">
      <c r="A799" s="2" t="inlineStr">
        <is>
          <t>REG-0798</t>
        </is>
      </c>
      <c r="B799" s="2" t="inlineStr">
        <is>
          <t>규정형</t>
        </is>
      </c>
      <c r="C799" s="2" t="inlineStr">
        <is>
          <t>퇴직연금</t>
        </is>
      </c>
      <c r="D799" s="2" t="inlineStr">
        <is>
          <t>근로자퇴직급여 보장법</t>
        </is>
      </c>
      <c r="E799" s="2" t="inlineStr">
        <is>
          <t>article_locate</t>
        </is>
      </c>
      <c r="F799" s="2" t="inlineStr">
        <is>
          <t>「근로자퇴직급여 보장법」의 어느 조문이 '보고 및 조사'를 다루는가?</t>
        </is>
      </c>
      <c r="G799" s="2" t="inlineStr">
        <is>
          <t>span</t>
        </is>
      </c>
      <c r="H799" s="2" t="inlineStr">
        <is>
          <t>제40조</t>
        </is>
      </c>
      <c r="I799" s="2" t="inlineStr"/>
      <c r="J799" s="2" t="inlineStr">
        <is>
          <t>국가법령정보센터 Open API (www.law.go.kr) — 근로자퇴직급여 보장법 (시행 20260701)</t>
        </is>
      </c>
      <c r="K799" s="2" t="inlineStr">
        <is>
          <t>제40조</t>
        </is>
      </c>
      <c r="L799" s="2" t="inlineStr">
        <is>
          <t>제40조(보고 및 조사)
① 고용노동부장관은 이 법 시행에 필요한 범위에서 사용자 및 퇴직연금사업자에게 퇴직연금제도의 실시 상황 등에 관한 보고, 관계 서류의 제출 또는 관계인의 출석을 요구할 수 있다.
② 고용노동부장관은 이 법의 시행을 위하여 필요하다고 인정하는 경우에는 소속 직원으로 하여금 퇴직연금제도를 실시하는 사업장 및 해당 퇴직연금사업자의 사업장</t>
        </is>
      </c>
    </row>
    <row r="800">
      <c r="A800" s="2" t="inlineStr">
        <is>
          <t>REG-0799</t>
        </is>
      </c>
      <c r="B800" s="2" t="inlineStr">
        <is>
          <t>규정형</t>
        </is>
      </c>
      <c r="C800" s="2" t="inlineStr">
        <is>
          <t>퇴직연금</t>
        </is>
      </c>
      <c r="D800" s="2" t="inlineStr">
        <is>
          <t>근로자퇴직급여 보장법</t>
        </is>
      </c>
      <c r="E800" s="2" t="inlineStr">
        <is>
          <t>article_locate</t>
        </is>
      </c>
      <c r="F800" s="2" t="inlineStr">
        <is>
          <t>「근로자퇴직급여 보장법」에서 '사용자에 대한 감독'을 규정한 조문은 몇 조인가?</t>
        </is>
      </c>
      <c r="G800" s="2" t="inlineStr">
        <is>
          <t>span</t>
        </is>
      </c>
      <c r="H800" s="2" t="inlineStr">
        <is>
          <t>제35조</t>
        </is>
      </c>
      <c r="I800" s="2" t="inlineStr"/>
      <c r="J800" s="2" t="inlineStr">
        <is>
          <t>국가법령정보센터 Open API (www.law.go.kr) — 근로자퇴직급여 보장법 (시행 20260701)</t>
        </is>
      </c>
      <c r="K800" s="2" t="inlineStr">
        <is>
          <t>제35조</t>
        </is>
      </c>
      <c r="L800" s="2" t="inlineStr">
        <is>
          <t>제35조(사용자에 대한 감독)
① 고용노동부장관은 사용자가 퇴직연금제도의 설정 또는 그 운영 등에 관하여 이 법 또는 퇴직연금규약 및 중소기업퇴직연금기금표준계약서에 위반되는 행위를 한 경우에는 기간을 정하여 그 위반의 시정을 명할 수 있다. 
② 고용노동부장관은 사용자가 제1항에 따른 기간 이내에 시정명령에 따르지 아니하는 경우에는 퇴직연금제도 운영의 중단</t>
        </is>
      </c>
    </row>
    <row r="801">
      <c r="A801" s="2" t="inlineStr">
        <is>
          <t>REG-0800</t>
        </is>
      </c>
      <c r="B801" s="2" t="inlineStr">
        <is>
          <t>규정형</t>
        </is>
      </c>
      <c r="C801" s="2" t="inlineStr">
        <is>
          <t>퇴직연금</t>
        </is>
      </c>
      <c r="D801" s="2" t="inlineStr">
        <is>
          <t>근로자퇴직급여 보장법</t>
        </is>
      </c>
      <c r="E801" s="2" t="inlineStr">
        <is>
          <t>article_locate</t>
        </is>
      </c>
      <c r="F801" s="2" t="inlineStr">
        <is>
          <t>'사용자의 책무' 조항은 「근로자퇴직급여 보장법」의 몇 조에 있는가?</t>
        </is>
      </c>
      <c r="G801" s="2" t="inlineStr">
        <is>
          <t>span</t>
        </is>
      </c>
      <c r="H801" s="2" t="inlineStr">
        <is>
          <t>제32조</t>
        </is>
      </c>
      <c r="I801" s="2" t="inlineStr"/>
      <c r="J801" s="2" t="inlineStr">
        <is>
          <t>국가법령정보센터 Open API (www.law.go.kr) — 근로자퇴직급여 보장법 (시행 20260701)</t>
        </is>
      </c>
      <c r="K801" s="2" t="inlineStr">
        <is>
          <t>제32조</t>
        </is>
      </c>
      <c r="L801" s="2" t="inlineStr">
        <is>
          <t>제32조(사용자의 책무)
① 사용자는 법령, 퇴직연금규약 또는 중소기업퇴직연금기금표준계약서를 준수하고 가입자 등을 위하여 대통령령으로 정하는 사항에 관하여 성실하게 이 법에 따른 의무를 이행하여야 한다. 
② 확정급여형퇴직연금제도 또는 확정기여형퇴직연금제도를 설정한 사용자는 매년 1회 이상 가입자에게 해당 사업의 퇴직연금제도 운영 상황 등 대통령령으로 정하</t>
        </is>
      </c>
    </row>
    <row r="802">
      <c r="A802" s="2" t="inlineStr">
        <is>
          <t>REG-0801</t>
        </is>
      </c>
      <c r="B802" s="2" t="inlineStr">
        <is>
          <t>규정형</t>
        </is>
      </c>
      <c r="C802" s="2" t="inlineStr">
        <is>
          <t>퇴직연금</t>
        </is>
      </c>
      <c r="D802" s="2" t="inlineStr">
        <is>
          <t>근로자퇴직급여 보장법</t>
        </is>
      </c>
      <c r="E802" s="2" t="inlineStr">
        <is>
          <t>article_locate</t>
        </is>
      </c>
      <c r="F802" s="2" t="inlineStr">
        <is>
          <t>「근로자퇴직급여 보장법」에서 '사전지정운용제도의 설정' 관련 규정은 제 몇 조인가?</t>
        </is>
      </c>
      <c r="G802" s="2" t="inlineStr">
        <is>
          <t>span</t>
        </is>
      </c>
      <c r="H802" s="2" t="inlineStr">
        <is>
          <t>제21조의2</t>
        </is>
      </c>
      <c r="I802" s="2" t="inlineStr"/>
      <c r="J802" s="2" t="inlineStr">
        <is>
          <t>국가법령정보센터 Open API (www.law.go.kr) — 근로자퇴직급여 보장법 (시행 20260701)</t>
        </is>
      </c>
      <c r="K802" s="2" t="inlineStr">
        <is>
          <t>제21조의2</t>
        </is>
      </c>
      <c r="L802" s="2" t="inlineStr">
        <is>
          <t xml:space="preserve">제21조의2(사전지정운용제도의 설정)
① 운용관리업무를 수행하는 퇴직연금사업자는 사전지정운용방법에 다음 각 호 중 하나 이상의 운용유형을 포함하여 고용노동부장관의 승인을 받아야 한다.
1. 적립금의 원리금이 보장되는 운용유형
2. 「자본시장과 금융투자업에 관한 법률」 제229조에 따른 집합투자기구의 집합투자증권으로서 투자설명서상 다음 각 목의 어느 하나에 </t>
        </is>
      </c>
    </row>
    <row r="803">
      <c r="A803" s="2" t="inlineStr">
        <is>
          <t>REG-0802</t>
        </is>
      </c>
      <c r="B803" s="2" t="inlineStr">
        <is>
          <t>규정형</t>
        </is>
      </c>
      <c r="C803" s="2" t="inlineStr">
        <is>
          <t>퇴직연금</t>
        </is>
      </c>
      <c r="D803" s="2" t="inlineStr">
        <is>
          <t>근로자퇴직급여 보장법</t>
        </is>
      </c>
      <c r="E803" s="2" t="inlineStr">
        <is>
          <t>article_locate</t>
        </is>
      </c>
      <c r="F803" s="2" t="inlineStr">
        <is>
          <t>'사전지정운용제도의 운영' 조항은 「근로자퇴직급여 보장법」의 몇 조에 있는가?</t>
        </is>
      </c>
      <c r="G803" s="2" t="inlineStr">
        <is>
          <t>span</t>
        </is>
      </c>
      <c r="H803" s="2" t="inlineStr">
        <is>
          <t>제21조의3</t>
        </is>
      </c>
      <c r="I803" s="2" t="inlineStr"/>
      <c r="J803" s="2" t="inlineStr">
        <is>
          <t>국가법령정보센터 Open API (www.law.go.kr) — 근로자퇴직급여 보장법 (시행 20260701)</t>
        </is>
      </c>
      <c r="K803" s="2" t="inlineStr">
        <is>
          <t>제21조의3</t>
        </is>
      </c>
      <c r="L803" s="2" t="inlineStr">
        <is>
          <t>제21조의3(사전지정운용제도의 운영)
① 운용관리업무를 수행하는 퇴직연금사업자는 사전지정운용제도를 설정한 사업의 가입자에게 다음 각 호의 사항에 관한 정보를 대통령령으로 정하는 바에 따라 제공하여야 한다.
1. 해당 사전지정운용방법의 자산배분 현황 및 위험ㆍ수익 구조
2. 제2항부터 제5항까지에 관한 사항
3. 그 밖에 사전지정운용제도의 운영에 관한 사항으</t>
        </is>
      </c>
    </row>
    <row r="804">
      <c r="A804" s="2" t="inlineStr">
        <is>
          <t>REG-0803</t>
        </is>
      </c>
      <c r="B804" s="2" t="inlineStr">
        <is>
          <t>규정형</t>
        </is>
      </c>
      <c r="C804" s="2" t="inlineStr">
        <is>
          <t>퇴직연금</t>
        </is>
      </c>
      <c r="D804" s="2" t="inlineStr">
        <is>
          <t>근로자퇴직급여 보장법</t>
        </is>
      </c>
      <c r="E804" s="2" t="inlineStr">
        <is>
          <t>article_locate</t>
        </is>
      </c>
      <c r="F804" s="2" t="inlineStr">
        <is>
          <t>「근로자퇴직급여 보장법」에서 '새로 성립된 사업의 퇴직급여제도' 관련 규정은 제 몇 조인가?</t>
        </is>
      </c>
      <c r="G804" s="2" t="inlineStr">
        <is>
          <t>span</t>
        </is>
      </c>
      <c r="H804" s="2" t="inlineStr">
        <is>
          <t>제5조</t>
        </is>
      </c>
      <c r="I804" s="2" t="inlineStr"/>
      <c r="J804" s="2" t="inlineStr">
        <is>
          <t>국가법령정보센터 Open API (www.law.go.kr) — 근로자퇴직급여 보장법 (시행 20260701)</t>
        </is>
      </c>
      <c r="K804" s="2" t="inlineStr">
        <is>
          <t>제5조</t>
        </is>
      </c>
      <c r="L804" s="2" t="inlineStr">
        <is>
          <t>제5조(새로 성립된 사업의 퇴직급여제도) 법률 제10967호 근로자퇴직급여 보장법 전부개정법률 시행일 이후 새로 성립(합병ㆍ분할된 경우는 제외한다)된 사업의 사용자는 근로자대표의 의견을 들어 사업의 성립 후 1년 이내에 확정급여형퇴직연금제도나 확정기여형퇴직연금제도를 설정하여야 한다.</t>
        </is>
      </c>
    </row>
    <row r="805">
      <c r="A805" s="2" t="inlineStr">
        <is>
          <t>REG-0804</t>
        </is>
      </c>
      <c r="B805" s="2" t="inlineStr">
        <is>
          <t>규정형</t>
        </is>
      </c>
      <c r="C805" s="2" t="inlineStr">
        <is>
          <t>퇴직연금</t>
        </is>
      </c>
      <c r="D805" s="2" t="inlineStr">
        <is>
          <t>근로자퇴직급여 보장법</t>
        </is>
      </c>
      <c r="E805" s="2" t="inlineStr">
        <is>
          <t>article_locate</t>
        </is>
      </c>
      <c r="F805" s="2" t="inlineStr">
        <is>
          <t>「근로자퇴직급여 보장법」에서 '수급권의 보호'를 규정한 조문은 몇 조인가?</t>
        </is>
      </c>
      <c r="G805" s="2" t="inlineStr">
        <is>
          <t>span</t>
        </is>
      </c>
      <c r="H805" s="2" t="inlineStr">
        <is>
          <t>제7조</t>
        </is>
      </c>
      <c r="I805" s="2" t="inlineStr"/>
      <c r="J805" s="2" t="inlineStr">
        <is>
          <t>국가법령정보센터 Open API (www.law.go.kr) — 근로자퇴직급여 보장법 (시행 20260701)</t>
        </is>
      </c>
      <c r="K805" s="2" t="inlineStr">
        <is>
          <t>제7조</t>
        </is>
      </c>
      <c r="L805" s="2" t="inlineStr">
        <is>
          <t xml:space="preserve">제7조(수급권의 보호)
① 퇴직연금제도(중소기업퇴직연금기금제도를 포함한다. 이하 이 조에서 같다)의 급여를 받을 권리는 양도 또는 압류하거나 담보로 제공할 수 없다. 
② 제1항에도 불구하고 가입자는 주택구입 등 대통령령으로 정하는 사유와 요건을 갖춘 경우에는 대통령령으로 정하는 한도에서 퇴직연금제도의 급여를 받을 권리를 담보로 제공할 수 있다. 이 경우 </t>
        </is>
      </c>
    </row>
    <row r="806">
      <c r="A806" s="2" t="inlineStr">
        <is>
          <t>REG-0805</t>
        </is>
      </c>
      <c r="B806" s="2" t="inlineStr">
        <is>
          <t>규정형</t>
        </is>
      </c>
      <c r="C806" s="2" t="inlineStr">
        <is>
          <t>퇴직연금</t>
        </is>
      </c>
      <c r="D806" s="2" t="inlineStr">
        <is>
          <t>근로자퇴직급여 보장법</t>
        </is>
      </c>
      <c r="E806" s="2" t="inlineStr">
        <is>
          <t>article_locate</t>
        </is>
      </c>
      <c r="F806" s="2" t="inlineStr">
        <is>
          <t>「근로자퇴직급여 보장법」의 어느 조문이 '수수료'를 다루는가?</t>
        </is>
      </c>
      <c r="G806" s="2" t="inlineStr">
        <is>
          <t>span</t>
        </is>
      </c>
      <c r="H806" s="2" t="inlineStr">
        <is>
          <t>제29조의2</t>
        </is>
      </c>
      <c r="I806" s="2" t="inlineStr"/>
      <c r="J806" s="2" t="inlineStr">
        <is>
          <t>국가법령정보센터 Open API (www.law.go.kr) — 근로자퇴직급여 보장법 (시행 20260701)</t>
        </is>
      </c>
      <c r="K806" s="2" t="inlineStr">
        <is>
          <t>제29조의2</t>
        </is>
      </c>
      <c r="L806" s="2" t="inlineStr">
        <is>
          <t>제29조의2(수수료)
① 퇴직연금사업자가 운용관리업무, 자산관리업무 및 그 밖에 대통령령으로 정하는 업무의 수행에 따라 사용자 및 가입자로부터 받는 수수료는 해당 업무의 수행에 따라 발생되는 비용과 적립금의 운용 손익 등을 고려하여 합리적으로 정하여야 한다.
② 제1항에 따라 사용자 및 가입자로부터 받는 수수료는 대통령령으로 정하는 부과기준 등을 준수하여야</t>
        </is>
      </c>
    </row>
    <row r="807">
      <c r="A807" s="2" t="inlineStr">
        <is>
          <t>REG-0806</t>
        </is>
      </c>
      <c r="B807" s="2" t="inlineStr">
        <is>
          <t>규정형</t>
        </is>
      </c>
      <c r="C807" s="2" t="inlineStr">
        <is>
          <t>카드</t>
        </is>
      </c>
      <c r="D807" s="2" t="inlineStr">
        <is>
          <t>여신전문금융업법</t>
        </is>
      </c>
      <c r="E807" s="2" t="inlineStr">
        <is>
          <t>article_locate</t>
        </is>
      </c>
      <c r="F807" s="2" t="inlineStr">
        <is>
          <t>「여신전문금융업법」에서 '「대외무역법」상의 특례' 관련 규정은 제 몇 조인가?</t>
        </is>
      </c>
      <c r="G807" s="2" t="inlineStr">
        <is>
          <t>span</t>
        </is>
      </c>
      <c r="H807" s="2" t="inlineStr">
        <is>
          <t>제30조</t>
        </is>
      </c>
      <c r="I807" s="2" t="inlineStr"/>
      <c r="J807" s="2" t="inlineStr">
        <is>
          <t>국가법령정보센터 Open API (www.law.go.kr) — 여신전문금융업법 (시행 20251001)</t>
        </is>
      </c>
      <c r="K807" s="2" t="inlineStr">
        <is>
          <t>제30조</t>
        </is>
      </c>
      <c r="L807" s="2" t="inlineStr">
        <is>
          <t>제30조(「대외무역법」상의 특례) 시설대여업자가 시설대여등을 한 특정물건이 외화획득용 시설기재(施設機材)인 경우에는 대여시설이용자가 「대외무역법」 제16조제3항 본문에 따른 "그 수입에 대응하는 외화획득"을 하여야 한다.</t>
        </is>
      </c>
    </row>
    <row r="808">
      <c r="A808" s="2" t="inlineStr">
        <is>
          <t>REG-0807</t>
        </is>
      </c>
      <c r="B808" s="2" t="inlineStr">
        <is>
          <t>규정형</t>
        </is>
      </c>
      <c r="C808" s="2" t="inlineStr">
        <is>
          <t>카드</t>
        </is>
      </c>
      <c r="D808" s="2" t="inlineStr">
        <is>
          <t>여신전문금융업법</t>
        </is>
      </c>
      <c r="E808" s="2" t="inlineStr">
        <is>
          <t>article_locate</t>
        </is>
      </c>
      <c r="F808" s="2" t="inlineStr">
        <is>
          <t>「여신전문금융업법」의 어느 조문이 '「의료기기법」상의 특례'를 다루는가?</t>
        </is>
      </c>
      <c r="G808" s="2" t="inlineStr">
        <is>
          <t>span</t>
        </is>
      </c>
      <c r="H808" s="2" t="inlineStr">
        <is>
          <t>제31조</t>
        </is>
      </c>
      <c r="I808" s="2" t="inlineStr"/>
      <c r="J808" s="2" t="inlineStr">
        <is>
          <t>국가법령정보센터 Open API (www.law.go.kr) — 여신전문금융업법 (시행 20251001)</t>
        </is>
      </c>
      <c r="K808" s="2" t="inlineStr">
        <is>
          <t>제31조</t>
        </is>
      </c>
      <c r="L808" s="2" t="inlineStr">
        <is>
          <t>제31조(「의료기기법」상의 특례)
① 시설대여업자는 시설대여등의 목적으로 수입(輸入)하는 특정물건인 의료기기에 대하여 보건복지부장관이 지정하는 자의 시설과 기구를 이용하여 시험검사를 하는 경우에는 「의료기기법」 제15조제4항에도 불구하고 그 의료기기를 수입할 수 있다. 
② 시설대여업자는 제1항에 따라 수입한 특정물건인 의료기기를 「의료기기법」 제17조제1</t>
        </is>
      </c>
    </row>
    <row r="809">
      <c r="A809" s="2" t="inlineStr">
        <is>
          <t>REG-0808</t>
        </is>
      </c>
      <c r="B809" s="2" t="inlineStr">
        <is>
          <t>규정형</t>
        </is>
      </c>
      <c r="C809" s="2" t="inlineStr">
        <is>
          <t>카드</t>
        </is>
      </c>
      <c r="D809" s="2" t="inlineStr">
        <is>
          <t>여신전문금융업법</t>
        </is>
      </c>
      <c r="E809" s="2" t="inlineStr">
        <is>
          <t>article_locate</t>
        </is>
      </c>
      <c r="F809" s="2" t="inlineStr">
        <is>
          <t>'가맹점 단체 설립 등' 조항은 「여신전문금융업법」의 몇 조에 있는가?</t>
        </is>
      </c>
      <c r="G809" s="2" t="inlineStr">
        <is>
          <t>span</t>
        </is>
      </c>
      <c r="H809" s="2" t="inlineStr">
        <is>
          <t>제18조의2</t>
        </is>
      </c>
      <c r="I809" s="2" t="inlineStr"/>
      <c r="J809" s="2" t="inlineStr">
        <is>
          <t>국가법령정보센터 Open API (www.law.go.kr) — 여신전문금융업법 (시행 20251001)</t>
        </is>
      </c>
      <c r="K809" s="2" t="inlineStr">
        <is>
          <t>제18조의2</t>
        </is>
      </c>
      <c r="L809" s="2" t="inlineStr">
        <is>
          <t>제18조의2(가맹점 단체 설립 등)
① 연간 매출규모 등 대통령령으로 정하는 기준에 해당하는 신용카드가맹점은 신용카드업자와 가맹점수수료 등 거래조건(이하 이 조에서 "거래조건"이라 한다)과 관련하여 합리적으로 계약을 체결ㆍ유지하기 위하여 단체를 설립할 수 있다.
② 금융위원회는 신용카드업자가 신용카드가맹점과의 거래조건과 관련하여 합리적으로 계약을 체결ㆍ유지</t>
        </is>
      </c>
    </row>
    <row r="810">
      <c r="A810" s="2" t="inlineStr">
        <is>
          <t>REG-0809</t>
        </is>
      </c>
      <c r="B810" s="2" t="inlineStr">
        <is>
          <t>규정형</t>
        </is>
      </c>
      <c r="C810" s="2" t="inlineStr">
        <is>
          <t>카드</t>
        </is>
      </c>
      <c r="D810" s="2" t="inlineStr">
        <is>
          <t>여신전문금융업법</t>
        </is>
      </c>
      <c r="E810" s="2" t="inlineStr">
        <is>
          <t>article_locate</t>
        </is>
      </c>
      <c r="F810" s="2" t="inlineStr">
        <is>
          <t>'가맹점 모집ㆍ이용방식의 제한' 조항은 「여신전문금융업법」의 몇 조에 있는가?</t>
        </is>
      </c>
      <c r="G810" s="2" t="inlineStr">
        <is>
          <t>span</t>
        </is>
      </c>
      <c r="H810" s="2" t="inlineStr">
        <is>
          <t>제23조</t>
        </is>
      </c>
      <c r="I810" s="2" t="inlineStr"/>
      <c r="J810" s="2" t="inlineStr">
        <is>
          <t>국가법령정보센터 Open API (www.law.go.kr) — 여신전문금융업법 (시행 20251001)</t>
        </is>
      </c>
      <c r="K810" s="2" t="inlineStr">
        <is>
          <t>제23조</t>
        </is>
      </c>
      <c r="L810" s="2" t="inlineStr">
        <is>
          <t>제23조(가맹점 모집ㆍ이용방식의 제한)
① 제3조제1항 단서에 따라 신용카드업의 등록을 한 겸영여신업자가 모집할 수 있는 신용카드가맹점의 범위는 대통령령으로 정한다.
② 금융위원회는 신용카드 이용의 편의와 신용카드업자의 업무 효율화를 위하여 신용카드업자(제1항에 따른 겸영여신업자는 제외한다. 이하 이 항에서 같다)에 대하여 다른 신용카드업자의 매출전표(賣出</t>
        </is>
      </c>
    </row>
    <row r="811">
      <c r="A811" s="2" t="inlineStr">
        <is>
          <t>REG-0810</t>
        </is>
      </c>
      <c r="B811" s="2" t="inlineStr">
        <is>
          <t>규정형</t>
        </is>
      </c>
      <c r="C811" s="2" t="inlineStr">
        <is>
          <t>카드</t>
        </is>
      </c>
      <c r="D811" s="2" t="inlineStr">
        <is>
          <t>여신전문금융업법</t>
        </is>
      </c>
      <c r="E811" s="2" t="inlineStr">
        <is>
          <t>article_locate</t>
        </is>
      </c>
      <c r="F811" s="2" t="inlineStr">
        <is>
          <t>'가맹점모집인의 등록 등' 조항은 「여신전문금융업법」의 몇 조에 있는가?</t>
        </is>
      </c>
      <c r="G811" s="2" t="inlineStr">
        <is>
          <t>span</t>
        </is>
      </c>
      <c r="H811" s="2" t="inlineStr">
        <is>
          <t>제16조의3</t>
        </is>
      </c>
      <c r="I811" s="2" t="inlineStr"/>
      <c r="J811" s="2" t="inlineStr">
        <is>
          <t>국가법령정보센터 Open API (www.law.go.kr) — 여신전문금융업법 (시행 20251001)</t>
        </is>
      </c>
      <c r="K811" s="2" t="inlineStr">
        <is>
          <t>제16조의3</t>
        </is>
      </c>
      <c r="L811" s="2" t="inlineStr">
        <is>
          <t xml:space="preserve">제16조의3(가맹점모집인의 등록 등)
① 부가통신업자는 소속 가맹점모집인이 되려는 자를 금융위원회에 등록하여야 한다.
② 다음 각 호의 어느 하나에 해당하는 자는 가맹점모집인이 될 수 없다. 
1. 피한정후견인 또는 피성년후견인
2. 파산선고를 받고 복권되지 아니한 자
3. 이 법에 따라 벌금 이상의 실형을 선고받고 그 집행이 끝나거나(집행이 끝난 것으로 </t>
        </is>
      </c>
    </row>
    <row r="812">
      <c r="A812" s="2" t="inlineStr">
        <is>
          <t>REG-0811</t>
        </is>
      </c>
      <c r="B812" s="2" t="inlineStr">
        <is>
          <t>규정형</t>
        </is>
      </c>
      <c r="C812" s="2" t="inlineStr">
        <is>
          <t>카드</t>
        </is>
      </c>
      <c r="D812" s="2" t="inlineStr">
        <is>
          <t>여신전문금융업법</t>
        </is>
      </c>
      <c r="E812" s="2" t="inlineStr">
        <is>
          <t>article_locate</t>
        </is>
      </c>
      <c r="F812" s="2" t="inlineStr">
        <is>
          <t>「여신전문금융업법」에서 '가맹점수수료율의 조정요구 등'을 규정한 조문은 몇 조인가?</t>
        </is>
      </c>
      <c r="G812" s="2" t="inlineStr">
        <is>
          <t>span</t>
        </is>
      </c>
      <c r="H812" s="2" t="inlineStr">
        <is>
          <t>제18조의4</t>
        </is>
      </c>
      <c r="I812" s="2" t="inlineStr"/>
      <c r="J812" s="2" t="inlineStr">
        <is>
          <t>국가법령정보센터 Open API (www.law.go.kr) — 여신전문금융업법 (시행 20251001)</t>
        </is>
      </c>
      <c r="K812" s="2" t="inlineStr">
        <is>
          <t>제18조의4</t>
        </is>
      </c>
      <c r="L812" s="2" t="inlineStr">
        <is>
          <t>제18조의4(가맹점수수료율의 조정요구 등) 금융위원회는 신용카드업자와 신용카드가맹점이 제18조의3제1항ㆍ제3항 또는 제4항을 위반하는 경우 이를 조정하도록 요구하거나 관계 기관 통보 등 필요한 조치를 할 수 있다.</t>
        </is>
      </c>
    </row>
    <row r="813">
      <c r="A813" s="2" t="inlineStr">
        <is>
          <t>REG-0812</t>
        </is>
      </c>
      <c r="B813" s="2" t="inlineStr">
        <is>
          <t>규정형</t>
        </is>
      </c>
      <c r="C813" s="2" t="inlineStr">
        <is>
          <t>카드</t>
        </is>
      </c>
      <c r="D813" s="2" t="inlineStr">
        <is>
          <t>여신전문금융업법</t>
        </is>
      </c>
      <c r="E813" s="2" t="inlineStr">
        <is>
          <t>article_locate</t>
        </is>
      </c>
      <c r="F813" s="2" t="inlineStr">
        <is>
          <t>「여신전문금융업법」에서 '가맹점수수료율의 차별금지 등' 관련 규정은 제 몇 조인가?</t>
        </is>
      </c>
      <c r="G813" s="2" t="inlineStr">
        <is>
          <t>span</t>
        </is>
      </c>
      <c r="H813" s="2" t="inlineStr">
        <is>
          <t>제18조의3</t>
        </is>
      </c>
      <c r="I813" s="2" t="inlineStr"/>
      <c r="J813" s="2" t="inlineStr">
        <is>
          <t>국가법령정보센터 Open API (www.law.go.kr) — 여신전문금융업법 (시행 20251001)</t>
        </is>
      </c>
      <c r="K813" s="2" t="inlineStr">
        <is>
          <t>제18조의3</t>
        </is>
      </c>
      <c r="L813" s="2" t="inlineStr">
        <is>
          <t>제18조의3(가맹점수수료율의 차별금지 등)
① 신용카드업자는 신용카드가맹점과의 가맹점수수료율을 정함에 있어서 공정하고 합리적으로 정하여야 하며 부당하게 가맹점수수료율을 차별하여서는 아니 된다.
② 금융위원회는 신용카드업자가 제1항에 따른 가맹점수수료율을 정함에 있어서 준수하여야 할 사항을 정하여야 한다.
③ 제1항에도 불구하고 신용카드업자는 대통령령으로 정</t>
        </is>
      </c>
    </row>
    <row r="814">
      <c r="A814" s="2" t="inlineStr">
        <is>
          <t>REG-0813</t>
        </is>
      </c>
      <c r="B814" s="2" t="inlineStr">
        <is>
          <t>규정형</t>
        </is>
      </c>
      <c r="C814" s="2" t="inlineStr">
        <is>
          <t>카드</t>
        </is>
      </c>
      <c r="D814" s="2" t="inlineStr">
        <is>
          <t>여신전문금융업법</t>
        </is>
      </c>
      <c r="E814" s="2" t="inlineStr">
        <is>
          <t>article_locate</t>
        </is>
      </c>
      <c r="F814" s="2" t="inlineStr">
        <is>
          <t>「여신전문금융업법」의 어느 조문이 '가맹점에 대한 책임'을 다루는가?</t>
        </is>
      </c>
      <c r="G814" s="2" t="inlineStr">
        <is>
          <t>span</t>
        </is>
      </c>
      <c r="H814" s="2" t="inlineStr">
        <is>
          <t>제17조</t>
        </is>
      </c>
      <c r="I814" s="2" t="inlineStr"/>
      <c r="J814" s="2" t="inlineStr">
        <is>
          <t>국가법령정보센터 Open API (www.law.go.kr) — 여신전문금융업법 (시행 20251001)</t>
        </is>
      </c>
      <c r="K814" s="2" t="inlineStr">
        <is>
          <t>제17조</t>
        </is>
      </c>
      <c r="L814" s="2" t="inlineStr">
        <is>
          <t>제17조(가맹점에 대한 책임)
① 신용카드업자는 다음 각 호의 어느 하나에 해당하는 거래에 따른 손실을 신용카드가맹점이 부담하도록 할 수 없다. 다만, 신용카드업자가 그 거래에 대한 그 신용카드가맹점의 고의 또는 중대한 과실을 증명하면 그 손실의 전부 또는 일부를 신용카드가맹점이 부담하도록 할 수 있다는 취지의 계약을 신용카드가맹점과 체결한 경우에는 그러하</t>
        </is>
      </c>
    </row>
    <row r="815">
      <c r="A815" s="2" t="inlineStr">
        <is>
          <t>REG-0814</t>
        </is>
      </c>
      <c r="B815" s="2" t="inlineStr">
        <is>
          <t>규정형</t>
        </is>
      </c>
      <c r="C815" s="2" t="inlineStr">
        <is>
          <t>카드</t>
        </is>
      </c>
      <c r="D815" s="2" t="inlineStr">
        <is>
          <t>여신전문금융업법</t>
        </is>
      </c>
      <c r="E815" s="2" t="inlineStr">
        <is>
          <t>article_locate</t>
        </is>
      </c>
      <c r="F815" s="2" t="inlineStr">
        <is>
          <t>「여신전문금융업법」에서 '가맹점의 모집 등' 관련 규정은 제 몇 조인가?</t>
        </is>
      </c>
      <c r="G815" s="2" t="inlineStr">
        <is>
          <t>span</t>
        </is>
      </c>
      <c r="H815" s="2" t="inlineStr">
        <is>
          <t>제16조의2</t>
        </is>
      </c>
      <c r="I815" s="2" t="inlineStr"/>
      <c r="J815" s="2" t="inlineStr">
        <is>
          <t>국가법령정보센터 Open API (www.law.go.kr) — 여신전문금융업법 (시행 20251001)</t>
        </is>
      </c>
      <c r="K815" s="2" t="inlineStr">
        <is>
          <t>제16조의2</t>
        </is>
      </c>
      <c r="L815" s="2" t="inlineStr">
        <is>
          <t xml:space="preserve">제16조의2(가맹점의 모집 등)
① 신용카드가맹점을 모집할 수 있는 자는 다음 각 호의 어느 하나에 해당하는 자이어야 한다.
1. 해당 신용카드업자의 임직원
2. 가맹점모집인
② 신용카드가맹점을 모집하는 자가 모집할 때 지켜야 할 사항과 모집방법에 필요한 사항은 대통령령으로 정한다.
③ 금융위원회는 건전한 가맹점모집질서의 확립을 위하여 필요하다고 인정하는 </t>
        </is>
      </c>
    </row>
    <row r="816">
      <c r="A816" s="2" t="inlineStr">
        <is>
          <t>REG-0815</t>
        </is>
      </c>
      <c r="B816" s="2" t="inlineStr">
        <is>
          <t>규정형</t>
        </is>
      </c>
      <c r="C816" s="2" t="inlineStr">
        <is>
          <t>카드</t>
        </is>
      </c>
      <c r="D816" s="2" t="inlineStr">
        <is>
          <t>여신전문금융업법</t>
        </is>
      </c>
      <c r="E816" s="2" t="inlineStr">
        <is>
          <t>article_locate</t>
        </is>
      </c>
      <c r="F816" s="2" t="inlineStr">
        <is>
          <t>'가맹점의 준수사항' 조항은 「여신전문금융업법」의 몇 조에 있는가?</t>
        </is>
      </c>
      <c r="G816" s="2" t="inlineStr">
        <is>
          <t>span</t>
        </is>
      </c>
      <c r="H816" s="2" t="inlineStr">
        <is>
          <t>제19조</t>
        </is>
      </c>
      <c r="I816" s="2" t="inlineStr"/>
      <c r="J816" s="2" t="inlineStr">
        <is>
          <t>국가법령정보센터 Open API (www.law.go.kr) — 여신전문금융업법 (시행 20251001)</t>
        </is>
      </c>
      <c r="K816" s="2" t="inlineStr">
        <is>
          <t>제19조</t>
        </is>
      </c>
      <c r="L816" s="2" t="inlineStr">
        <is>
          <t>제19조(가맹점의 준수사항)
① 신용카드가맹점은 신용카드로 거래한다는 이유로 신용카드 결제를 거절하거나 신용카드회원을 불리하게 대우하지 못한다. 
② 신용카드가맹점은 신용카드로 거래를 할 때마다 그 신용카드를 본인이 정당하게 사용하고 있는지를 확인하여야 한다.
③ 신용카드가맹점은 신용카드회원의 정보보호를 위하여 금융위원회에 등록된 신용카드 단말기를 설치ㆍ이</t>
        </is>
      </c>
    </row>
    <row r="817">
      <c r="A817" s="2" t="inlineStr">
        <is>
          <t>REG-0816</t>
        </is>
      </c>
      <c r="B817" s="2" t="inlineStr">
        <is>
          <t>규정형</t>
        </is>
      </c>
      <c r="C817" s="2" t="inlineStr">
        <is>
          <t>카드</t>
        </is>
      </c>
      <c r="D817" s="2" t="inlineStr">
        <is>
          <t>여신전문금융업법</t>
        </is>
      </c>
      <c r="E817" s="2" t="inlineStr">
        <is>
          <t>article_locate</t>
        </is>
      </c>
      <c r="F817" s="2" t="inlineStr">
        <is>
          <t>「여신전문금융업법」의 어느 조문이 '가맹점의 해지의무'를 다루는가?</t>
        </is>
      </c>
      <c r="G817" s="2" t="inlineStr">
        <is>
          <t>span</t>
        </is>
      </c>
      <c r="H817" s="2" t="inlineStr">
        <is>
          <t>제21조</t>
        </is>
      </c>
      <c r="I817" s="2" t="inlineStr"/>
      <c r="J817" s="2" t="inlineStr">
        <is>
          <t>국가법령정보센터 Open API (www.law.go.kr) — 여신전문금융업법 (시행 20251001)</t>
        </is>
      </c>
      <c r="K817" s="2" t="inlineStr">
        <is>
          <t>제21조</t>
        </is>
      </c>
      <c r="L817" s="2" t="inlineStr">
        <is>
          <t>제21조(가맹점의 해지의무) 신용카드업자는 신용카드가맹점이 제19조 또는 제20조제1항을 위반하여 형을 선고받거나 관계 행정기관으로부터 같은 규정의 위반사실에 대하여 서면통보를 받는 등 대통령령으로 정하는 사유에 해당하는 경우에는 특별한 사유가 없으면 지체 없이 가맹점계약을 해지(解止)하여야 한다.</t>
        </is>
      </c>
    </row>
    <row r="818">
      <c r="A818" s="2" t="inlineStr">
        <is>
          <t>REG-0817</t>
        </is>
      </c>
      <c r="B818" s="2" t="inlineStr">
        <is>
          <t>규정형</t>
        </is>
      </c>
      <c r="C818" s="2" t="inlineStr">
        <is>
          <t>카드</t>
        </is>
      </c>
      <c r="D818" s="2" t="inlineStr">
        <is>
          <t>여신전문금융업법</t>
        </is>
      </c>
      <c r="E818" s="2" t="inlineStr">
        <is>
          <t>article_locate</t>
        </is>
      </c>
      <c r="F818" s="2" t="inlineStr">
        <is>
          <t>'각종 자금의 이용' 조항은 「여신전문금융업법」의 몇 조에 있는가?</t>
        </is>
      </c>
      <c r="G818" s="2" t="inlineStr">
        <is>
          <t>span</t>
        </is>
      </c>
      <c r="H818" s="2" t="inlineStr">
        <is>
          <t>제29조</t>
        </is>
      </c>
      <c r="I818" s="2" t="inlineStr"/>
      <c r="J818" s="2" t="inlineStr">
        <is>
          <t>국가법령정보센터 Open API (www.law.go.kr) — 여신전문금융업법 (시행 20251001)</t>
        </is>
      </c>
      <c r="K818" s="2" t="inlineStr">
        <is>
          <t>제29조</t>
        </is>
      </c>
      <c r="L818" s="2" t="inlineStr">
        <is>
          <t>제29조(각종 자금의 이용) 시설대여업자와 시설대여 또는 연불판매 계약을 체결한 자(이하 "대여시설이용자"라 한다)가 기업의 설비투자를 지원하기 위하여 운용(運用)되는 자금의 융자대상자인 경우에는 시설대여업자가 그 대여시설이용자를 위하여 그 자금을 융자받아 특정물건을 취득하거나 대여받아 시설대여 또는 연불판매(이하 "시설대여등"이라 한다)를 할 수 있다.</t>
        </is>
      </c>
    </row>
    <row r="819">
      <c r="A819" s="2" t="inlineStr">
        <is>
          <t>REG-0818</t>
        </is>
      </c>
      <c r="B819" s="2" t="inlineStr">
        <is>
          <t>규정형</t>
        </is>
      </c>
      <c r="C819" s="2" t="inlineStr">
        <is>
          <t>카드</t>
        </is>
      </c>
      <c r="D819" s="2" t="inlineStr">
        <is>
          <t>여신전문금융업법</t>
        </is>
      </c>
      <c r="E819" s="2" t="inlineStr">
        <is>
          <t>article_locate</t>
        </is>
      </c>
      <c r="F819" s="2" t="inlineStr">
        <is>
          <t>「여신전문금융업법」에서 '감사인의 지정' 관련 규정은 제 몇 조인가?</t>
        </is>
      </c>
      <c r="G819" s="2" t="inlineStr">
        <is>
          <t>span</t>
        </is>
      </c>
      <c r="H819" s="2" t="inlineStr">
        <is>
          <t>제56조</t>
        </is>
      </c>
      <c r="I819" s="2" t="inlineStr"/>
      <c r="J819" s="2" t="inlineStr">
        <is>
          <t>국가법령정보센터 Open API (www.law.go.kr) — 여신전문금융업법 (시행 20251001)</t>
        </is>
      </c>
      <c r="K819" s="2" t="inlineStr">
        <is>
          <t>제56조</t>
        </is>
      </c>
      <c r="L819" s="2" t="inlineStr">
        <is>
          <t xml:space="preserve">제56조(감사인의 지정) 금융위원회는 여신전문금융회사가 이 법등을 위반한 사실이 있는 등 대통령령으로 정하는 사유에 해당하면 증권선물위원회의 심의를 거쳐 그 여신전문금융회사의 감사인을 지정할 수 있다. </t>
        </is>
      </c>
    </row>
    <row r="820">
      <c r="A820" s="2" t="inlineStr">
        <is>
          <t>REG-0819</t>
        </is>
      </c>
      <c r="B820" s="2" t="inlineStr">
        <is>
          <t>규정형</t>
        </is>
      </c>
      <c r="C820" s="2" t="inlineStr">
        <is>
          <t>카드</t>
        </is>
      </c>
      <c r="D820" s="2" t="inlineStr">
        <is>
          <t>여신전문금융업법</t>
        </is>
      </c>
      <c r="E820" s="2" t="inlineStr">
        <is>
          <t>article_locate</t>
        </is>
      </c>
      <c r="F820" s="2" t="inlineStr">
        <is>
          <t>'거래조건의 주지 의무' 조항은 「여신전문금융업법」의 몇 조에 있는가?</t>
        </is>
      </c>
      <c r="G820" s="2" t="inlineStr">
        <is>
          <t>span</t>
        </is>
      </c>
      <c r="H820" s="2" t="inlineStr">
        <is>
          <t>제39조</t>
        </is>
      </c>
      <c r="I820" s="2" t="inlineStr"/>
      <c r="J820" s="2" t="inlineStr">
        <is>
          <t>국가법령정보센터 Open API (www.law.go.kr) — 여신전문금융업법 (시행 20251001)</t>
        </is>
      </c>
      <c r="K820" s="2" t="inlineStr">
        <is>
          <t>제39조</t>
        </is>
      </c>
      <c r="L820" s="2" t="inlineStr">
        <is>
          <t xml:space="preserve">제39조(거래조건의 주지 의무)
① 할부금융업자는 할부금융계약을 체결한 재화와 용역의 매수인(이하 "할부금융이용자"라 한다)에게 다음 각 호의 사항을 제공하여야 한다. 
1. 할부금융업자가 정하는 이자율, 연체이자율 및 각종 요율. 이 경우 각종 요율은 취급수수료 등 그 명칭이 무엇이든 할부금융이용자가 할부금융업자에게 지급하는 금액이 포함되도록 산정하여야 </t>
        </is>
      </c>
    </row>
    <row r="821">
      <c r="A821" s="2" t="inlineStr">
        <is>
          <t>REG-0820</t>
        </is>
      </c>
      <c r="B821" s="2" t="inlineStr">
        <is>
          <t>규정형</t>
        </is>
      </c>
      <c r="C821" s="2" t="inlineStr">
        <is>
          <t>카드</t>
        </is>
      </c>
      <c r="D821" s="2" t="inlineStr">
        <is>
          <t>여신전문금융업법</t>
        </is>
      </c>
      <c r="E821" s="2" t="inlineStr">
        <is>
          <t>article_locate</t>
        </is>
      </c>
      <c r="F821" s="2" t="inlineStr">
        <is>
          <t>「여신전문금융업법」에서 '거래조건의 주지의무'를 규정한 조문은 몇 조인가?</t>
        </is>
      </c>
      <c r="G821" s="2" t="inlineStr">
        <is>
          <t>span</t>
        </is>
      </c>
      <c r="H821" s="2" t="inlineStr">
        <is>
          <t>제18조</t>
        </is>
      </c>
      <c r="I821" s="2" t="inlineStr"/>
      <c r="J821" s="2" t="inlineStr">
        <is>
          <t>국가법령정보센터 Open API (www.law.go.kr) — 여신전문금융업법 (시행 20251001)</t>
        </is>
      </c>
      <c r="K821" s="2" t="inlineStr">
        <is>
          <t>제18조</t>
        </is>
      </c>
      <c r="L821" s="2" t="inlineStr">
        <is>
          <t>제18조(거래조건의 주지의무) 신용카드업자는 다음 각 호의 사항을 총리령으로 정하는 방법에 따라 신용카드회원등과 신용카드가맹점에 알려야 한다. 
1. 신용카드업자가 정하는 이자율ㆍ할인율ㆍ연체료율ㆍ가맹점수수료율 등 각종 요율(料率)
2. 신용카드ㆍ직불카드 이용금액의 결제방법
3. 제16조에 따른 신용카드회원등에 대한 책임
4. 제17조와 제19조에 따른 신용</t>
        </is>
      </c>
    </row>
    <row r="822">
      <c r="A822" s="2" t="inlineStr">
        <is>
          <t>REG-0821</t>
        </is>
      </c>
      <c r="B822" s="2" t="inlineStr">
        <is>
          <t>규정형</t>
        </is>
      </c>
      <c r="C822" s="2" t="inlineStr">
        <is>
          <t>카드</t>
        </is>
      </c>
      <c r="D822" s="2" t="inlineStr">
        <is>
          <t>여신전문금융업법</t>
        </is>
      </c>
      <c r="E822" s="2" t="inlineStr">
        <is>
          <t>article_locate</t>
        </is>
      </c>
      <c r="F822" s="2" t="inlineStr">
        <is>
          <t>'건전경영의 지도' 조항은 「여신전문금융업법」의 몇 조에 있는가?</t>
        </is>
      </c>
      <c r="G822" s="2" t="inlineStr">
        <is>
          <t>span</t>
        </is>
      </c>
      <c r="H822" s="2" t="inlineStr">
        <is>
          <t>제53조의3</t>
        </is>
      </c>
      <c r="I822" s="2" t="inlineStr"/>
      <c r="J822" s="2" t="inlineStr">
        <is>
          <t>국가법령정보센터 Open API (www.law.go.kr) — 여신전문금융업법 (시행 20251001)</t>
        </is>
      </c>
      <c r="K822" s="2" t="inlineStr">
        <is>
          <t>제53조의3</t>
        </is>
      </c>
      <c r="L822" s="2" t="inlineStr">
        <is>
          <t>제53조의3(건전경영의 지도)
① 금융위원회는 여신전문금융회사의 건전한 경영을 지도하고 금융사고를 예방하기 위하여 대통령령으로 정하는 바에 따라 다음 각 호의 어느 하나에 해당하는 경영지도의 기준을 정할 수 있다.
1. 자본의 적정성에 관한 사항
2. 자산의 건전성에 관한 사항
3. 유동성(流動性)에 관한 사항
4. 그 밖에 경영의 건전성 확보를 위하여 필</t>
        </is>
      </c>
    </row>
    <row r="823">
      <c r="A823" s="2" t="inlineStr">
        <is>
          <t>REG-0822</t>
        </is>
      </c>
      <c r="B823" s="2" t="inlineStr">
        <is>
          <t>규정형</t>
        </is>
      </c>
      <c r="C823" s="2" t="inlineStr">
        <is>
          <t>카드</t>
        </is>
      </c>
      <c r="D823" s="2" t="inlineStr">
        <is>
          <t>여신전문금융업법</t>
        </is>
      </c>
      <c r="E823" s="2" t="inlineStr">
        <is>
          <t>article_locate</t>
        </is>
      </c>
      <c r="F823" s="2" t="inlineStr">
        <is>
          <t>「여신전문금융업법」의 어느 조문이 '겸영업무ㆍ부수업무의 회계처리'를 다루는가?</t>
        </is>
      </c>
      <c r="G823" s="2" t="inlineStr">
        <is>
          <t>span</t>
        </is>
      </c>
      <c r="H823" s="2" t="inlineStr">
        <is>
          <t>제46조의3</t>
        </is>
      </c>
      <c r="I823" s="2" t="inlineStr"/>
      <c r="J823" s="2" t="inlineStr">
        <is>
          <t>국가법령정보센터 Open API (www.law.go.kr) — 여신전문금융업법 (시행 20251001)</t>
        </is>
      </c>
      <c r="K823" s="2" t="inlineStr">
        <is>
          <t>제46조의3</t>
        </is>
      </c>
      <c r="L823" s="2" t="inlineStr">
        <is>
          <t>제46조의3(겸영업무ㆍ부수업무의 회계처리) 신용카드업자가 제46조제1항제6호의2 또는 제7호에 따라 다른 금융업무 또는 부수업무를 하는 경우에는 대통령령으로 정하는 바에 따라 그 업무를 신용카드업과 구분하여 회계처리하여야 한다.</t>
        </is>
      </c>
    </row>
    <row r="824">
      <c r="A824" s="2" t="inlineStr">
        <is>
          <t>REG-0823</t>
        </is>
      </c>
      <c r="B824" s="2" t="inlineStr">
        <is>
          <t>규정형</t>
        </is>
      </c>
      <c r="C824" s="2" t="inlineStr">
        <is>
          <t>카드</t>
        </is>
      </c>
      <c r="D824" s="2" t="inlineStr">
        <is>
          <t>여신전문금융업법</t>
        </is>
      </c>
      <c r="E824" s="2" t="inlineStr">
        <is>
          <t>article_locate</t>
        </is>
      </c>
      <c r="F824" s="2" t="inlineStr">
        <is>
          <t>「여신전문금융업법」의 어느 조문이 '경영의 공시'를 다루는가?</t>
        </is>
      </c>
      <c r="G824" s="2" t="inlineStr">
        <is>
          <t>span</t>
        </is>
      </c>
      <c r="H824" s="2" t="inlineStr">
        <is>
          <t>제54조의2</t>
        </is>
      </c>
      <c r="I824" s="2" t="inlineStr"/>
      <c r="J824" s="2" t="inlineStr">
        <is>
          <t>국가법령정보센터 Open API (www.law.go.kr) — 여신전문금융업법 (시행 20251001)</t>
        </is>
      </c>
      <c r="K824" s="2" t="inlineStr">
        <is>
          <t>제54조의2</t>
        </is>
      </c>
      <c r="L824" s="2" t="inlineStr">
        <is>
          <t>제54조의2(경영의 공시)
① 금융위원회는 여신전문금융회사에 대하여 경영상황에 관한 주요 정보와 자료를 공시(公示)하게 할 수 있다.
② 제1항에 따른 공시의 종류ㆍ범위 및 방법에 관하여 필요한 사항은 금융위원회가 정한다.</t>
        </is>
      </c>
    </row>
    <row r="825">
      <c r="A825" s="2" t="inlineStr">
        <is>
          <t>REG-0824</t>
        </is>
      </c>
      <c r="B825" s="2" t="inlineStr">
        <is>
          <t>규정형</t>
        </is>
      </c>
      <c r="C825" s="2" t="inlineStr">
        <is>
          <t>카드</t>
        </is>
      </c>
      <c r="D825" s="2" t="inlineStr">
        <is>
          <t>여신전문금융업법</t>
        </is>
      </c>
      <c r="E825" s="2" t="inlineStr">
        <is>
          <t>article_locate</t>
        </is>
      </c>
      <c r="F825" s="2" t="inlineStr">
        <is>
          <t>「여신전문금융업법」에서 '계약 해지에 따른 연회비 반환'을 규정한 조문은 몇 조인가?</t>
        </is>
      </c>
      <c r="G825" s="2" t="inlineStr">
        <is>
          <t>span</t>
        </is>
      </c>
      <c r="H825" s="2" t="inlineStr">
        <is>
          <t>제16조의5</t>
        </is>
      </c>
      <c r="I825" s="2" t="inlineStr"/>
      <c r="J825" s="2" t="inlineStr">
        <is>
          <t>국가법령정보센터 Open API (www.law.go.kr) — 여신전문금융업법 (시행 20251001)</t>
        </is>
      </c>
      <c r="K825" s="2" t="inlineStr">
        <is>
          <t>제16조의5</t>
        </is>
      </c>
      <c r="L825" s="2" t="inlineStr">
        <is>
          <t>제16조의5(계약 해지에 따른 연회비 반환)
① 신용카드업자는 신용카드회원이 신용카드업자와의 계약을 해지하는 경우 연회비를 반환하여야 한다.
② 제1항에 따른 연회비 반환사유, 반환금액, 그 밖에 필요한 사항은 대통령령으로 정한다.</t>
        </is>
      </c>
    </row>
    <row r="826">
      <c r="A826" s="2" t="inlineStr">
        <is>
          <t>REG-0825</t>
        </is>
      </c>
      <c r="B826" s="2" t="inlineStr">
        <is>
          <t>규정형</t>
        </is>
      </c>
      <c r="C826" s="2" t="inlineStr">
        <is>
          <t>카드</t>
        </is>
      </c>
      <c r="D826" s="2" t="inlineStr">
        <is>
          <t>여신전문금융업법</t>
        </is>
      </c>
      <c r="E826" s="2" t="inlineStr">
        <is>
          <t>article_locate</t>
        </is>
      </c>
      <c r="F826" s="2" t="inlineStr">
        <is>
          <t>「여신전문금융업법」의 어느 조문이 '고객응대직원에 대한 보호 조치 의무'를 다루는가?</t>
        </is>
      </c>
      <c r="G826" s="2" t="inlineStr">
        <is>
          <t>span</t>
        </is>
      </c>
      <c r="H826" s="2" t="inlineStr">
        <is>
          <t>제50조의12</t>
        </is>
      </c>
      <c r="I826" s="2" t="inlineStr"/>
      <c r="J826" s="2" t="inlineStr">
        <is>
          <t>국가법령정보센터 Open API (www.law.go.kr) — 여신전문금융업법 (시행 20251001)</t>
        </is>
      </c>
      <c r="K826" s="2" t="inlineStr">
        <is>
          <t>제50조의12</t>
        </is>
      </c>
      <c r="L826" s="2" t="inlineStr">
        <is>
          <t>제50조의12(고객응대직원에 대한 보호 조치 의무)
① 여신전문금융회사는 고객을 직접 응대하는 직원을 고객의 폭언이나 성희롱, 폭행 등으로부터 보호하기 위하여 다음 각 호의 조치를 하여야 한다.
1. 직원이 요청하는 경우 해당 고객으로부터의 분리 및 업무담당자 교체
2. 직원에 대한 치료 및 상담 지원
3. 고객을 직접 응대하는 직원을 위한 상시적 고충처리</t>
        </is>
      </c>
    </row>
    <row r="827">
      <c r="A827" s="2" t="inlineStr">
        <is>
          <t>REG-0826</t>
        </is>
      </c>
      <c r="B827" s="2" t="inlineStr">
        <is>
          <t>규정형</t>
        </is>
      </c>
      <c r="C827" s="2" t="inlineStr">
        <is>
          <t>카드</t>
        </is>
      </c>
      <c r="D827" s="2" t="inlineStr">
        <is>
          <t>여신전문금융업법</t>
        </is>
      </c>
      <c r="E827" s="2" t="inlineStr">
        <is>
          <t>article_locate</t>
        </is>
      </c>
      <c r="F827" s="2" t="inlineStr">
        <is>
          <t>'공모신기술투자조합에 관한 특례' 조항은 「여신전문금융업법」의 몇 조에 있는가?</t>
        </is>
      </c>
      <c r="G827" s="2" t="inlineStr">
        <is>
          <t>span</t>
        </is>
      </c>
      <c r="H827" s="2" t="inlineStr">
        <is>
          <t>제44조의2</t>
        </is>
      </c>
      <c r="I827" s="2" t="inlineStr"/>
      <c r="J827" s="2" t="inlineStr">
        <is>
          <t>국가법령정보센터 Open API (www.law.go.kr) — 여신전문금융업법 (시행 20251001)</t>
        </is>
      </c>
      <c r="K827" s="2" t="inlineStr">
        <is>
          <t>제44조의2</t>
        </is>
      </c>
      <c r="L827" s="2" t="inlineStr">
        <is>
          <t>제44조의2(공모신기술투자조합에 관한 특례) 「자본시장과 금융투자업에 관한 법률」 제11조부터 제16조까지, 제30조부터 제32조까지, 제34조부터 제36조까지, 제40조부터 제43조까지, 제50조부터 제53조까지, 제56조, 제58조, 제61조부터 제65조까지, 제80조부터 제83조까지, 제85조제2호ㆍ제3호 및 제6호부터 제8호까지, 제86조부터 제88</t>
        </is>
      </c>
    </row>
    <row r="828">
      <c r="A828" s="2" t="inlineStr">
        <is>
          <t>REG-0827</t>
        </is>
      </c>
      <c r="B828" s="2" t="inlineStr">
        <is>
          <t>규정형</t>
        </is>
      </c>
      <c r="C828" s="2" t="inlineStr">
        <is>
          <t>카드</t>
        </is>
      </c>
      <c r="D828" s="2" t="inlineStr">
        <is>
          <t>여신전문금융업법</t>
        </is>
      </c>
      <c r="E828" s="2" t="inlineStr">
        <is>
          <t>article_locate</t>
        </is>
      </c>
      <c r="F828" s="2" t="inlineStr">
        <is>
          <t>「여신전문금융업법」에서 '공탁물의 배당 등' 관련 규정은 제 몇 조인가?</t>
        </is>
      </c>
      <c r="G828" s="2" t="inlineStr">
        <is>
          <t>span</t>
        </is>
      </c>
      <c r="H828" s="2" t="inlineStr">
        <is>
          <t>제26조</t>
        </is>
      </c>
      <c r="I828" s="2" t="inlineStr"/>
      <c r="J828" s="2" t="inlineStr">
        <is>
          <t>국가법령정보센터 Open API (www.law.go.kr) — 여신전문금융업법 (시행 20251001)</t>
        </is>
      </c>
      <c r="K828" s="2" t="inlineStr">
        <is>
          <t>제26조</t>
        </is>
      </c>
      <c r="L828" s="2" t="inlineStr">
        <is>
          <t xml:space="preserve">제26조(공탁물의 배당 등)
① 금융위원회는 제25조에 따라 공탁을 한 신용카드업자가 선불카드에 의하여 물품을 판매하거나 용역을 제공한 신용카드가맹점에 지급하여야 할 선불카드대금 및 미상환선불카드의 잔액을 상환할 수 없게 된 때에는 해당 신용카드업자가 공탁한 공탁물을 출급하여 해당 신용카드가맹점 및 미상환선불카드의 소지자(이하 "미상환채권자"라 한다)에게 </t>
        </is>
      </c>
    </row>
    <row r="829">
      <c r="A829" s="2" t="inlineStr">
        <is>
          <t>REG-0828</t>
        </is>
      </c>
      <c r="B829" s="2" t="inlineStr">
        <is>
          <t>규정형</t>
        </is>
      </c>
      <c r="C829" s="2" t="inlineStr">
        <is>
          <t>카드</t>
        </is>
      </c>
      <c r="D829" s="2" t="inlineStr">
        <is>
          <t>여신전문금융업법</t>
        </is>
      </c>
      <c r="E829" s="2" t="inlineStr">
        <is>
          <t>article_locate</t>
        </is>
      </c>
      <c r="F829" s="2" t="inlineStr">
        <is>
          <t>「여신전문금융업법」에서 '과오납금의 환급' 관련 규정은 제 몇 조인가?</t>
        </is>
      </c>
      <c r="G829" s="2" t="inlineStr">
        <is>
          <t>span</t>
        </is>
      </c>
      <c r="H829" s="2" t="inlineStr">
        <is>
          <t>제58조의3</t>
        </is>
      </c>
      <c r="I829" s="2" t="inlineStr"/>
      <c r="J829" s="2" t="inlineStr">
        <is>
          <t>국가법령정보센터 Open API (www.law.go.kr) — 여신전문금융업법 (시행 20251001)</t>
        </is>
      </c>
      <c r="K829" s="2" t="inlineStr">
        <is>
          <t>제58조의3</t>
        </is>
      </c>
      <c r="L829" s="2" t="inlineStr">
        <is>
          <t>제58조의3(과오납금의 환급) 금융위원회는 과징금 납부의무자가 이의신청의 재결 또는 법원의 판결 등의 사유로 과징금 과오납금의 환급을 청구하는 경우에는 지체 없이 환급하여야 하며, 과징금 납부의무자의 청구가 없어도 금융위원회가 확인한 과오납금은 환급하여야 한다.</t>
        </is>
      </c>
    </row>
    <row r="830">
      <c r="A830" s="2" t="inlineStr">
        <is>
          <t>REG-0829</t>
        </is>
      </c>
      <c r="B830" s="2" t="inlineStr">
        <is>
          <t>규정형</t>
        </is>
      </c>
      <c r="C830" s="2" t="inlineStr">
        <is>
          <t>카드</t>
        </is>
      </c>
      <c r="D830" s="2" t="inlineStr">
        <is>
          <t>여신전문금융업법</t>
        </is>
      </c>
      <c r="E830" s="2" t="inlineStr">
        <is>
          <t>article_locate</t>
        </is>
      </c>
      <c r="F830" s="2" t="inlineStr">
        <is>
          <t>「여신전문금융업법」에서 '과징금'을 규정한 조문은 몇 조인가?</t>
        </is>
      </c>
      <c r="G830" s="2" t="inlineStr">
        <is>
          <t>span</t>
        </is>
      </c>
      <c r="H830" s="2" t="inlineStr">
        <is>
          <t>제58조</t>
        </is>
      </c>
      <c r="I830" s="2" t="inlineStr"/>
      <c r="J830" s="2" t="inlineStr">
        <is>
          <t>국가법령정보센터 Open API (www.law.go.kr) — 여신전문금융업법 (시행 20251001)</t>
        </is>
      </c>
      <c r="K830" s="2" t="inlineStr">
        <is>
          <t>제58조</t>
        </is>
      </c>
      <c r="L830" s="2" t="inlineStr">
        <is>
          <t>제58조(과징금)
① 금융위원회는 여신전문금융회사가 제46조(제57조제1항 각 호 외의 부분에서 정하는 업무에 관한 규정으로 한정한다)를 위반한 경우에는 대통령령으로 정하는 바에 따라 3억원 이하의 과징금을 부과할 수 있다. 
② 금융위원회는 신용카드업자가 제57조제1항 각 호의 어느 하나에 해당하는 경우에는 대통령령으로 정하는 바에 따라 업무정지처분 대신</t>
        </is>
      </c>
    </row>
    <row r="831">
      <c r="A831" s="2" t="inlineStr">
        <is>
          <t>REG-0830</t>
        </is>
      </c>
      <c r="B831" s="2" t="inlineStr">
        <is>
          <t>규정형</t>
        </is>
      </c>
      <c r="C831" s="2" t="inlineStr">
        <is>
          <t>카드</t>
        </is>
      </c>
      <c r="D831" s="2" t="inlineStr">
        <is>
          <t>여신전문금융업법</t>
        </is>
      </c>
      <c r="E831" s="2" t="inlineStr">
        <is>
          <t>article_locate</t>
        </is>
      </c>
      <c r="F831" s="2" t="inlineStr">
        <is>
          <t>「여신전문금융업법」에서 '과태료'를 규정한 조문은 몇 조인가?</t>
        </is>
      </c>
      <c r="G831" s="2" t="inlineStr">
        <is>
          <t>span</t>
        </is>
      </c>
      <c r="H831" s="2" t="inlineStr">
        <is>
          <t>제72조</t>
        </is>
      </c>
      <c r="I831" s="2" t="inlineStr"/>
      <c r="J831" s="2" t="inlineStr">
        <is>
          <t>국가법령정보센터 Open API (www.law.go.kr) — 여신전문금융업법 (시행 20251001)</t>
        </is>
      </c>
      <c r="K831" s="2" t="inlineStr">
        <is>
          <t>제72조</t>
        </is>
      </c>
      <c r="L831" s="2" t="inlineStr">
        <is>
          <t>제72조(과태료)
① 다음 각 호의 어느 하나에 해당하는 자에게는 5천만원 이하의 과태료를 부과한다. 
1. 제14조의5제1항부터 제3항까지의 규정을 위반한 자
2. 제14조의5제4항에 따른 조사를 거부한 자
3. 제14조의5제5항을 위반하여 모집인의 불법행위 신고를 하지 아니한 자
4. 제16조의2제3항에 따른 조사를 거부한 자
4의2. 제16조의5를 위</t>
        </is>
      </c>
    </row>
    <row r="832">
      <c r="A832" s="2" t="inlineStr">
        <is>
          <t>REG-0831</t>
        </is>
      </c>
      <c r="B832" s="2" t="inlineStr">
        <is>
          <t>규정형</t>
        </is>
      </c>
      <c r="C832" s="2" t="inlineStr">
        <is>
          <t>카드</t>
        </is>
      </c>
      <c r="D832" s="2" t="inlineStr">
        <is>
          <t>여신전문금융업법</t>
        </is>
      </c>
      <c r="E832" s="2" t="inlineStr">
        <is>
          <t>article_locate</t>
        </is>
      </c>
      <c r="F832" s="2" t="inlineStr">
        <is>
          <t>「여신전문금융업법」의 어느 조문이 '광고의 자율심의'를 다루는가?</t>
        </is>
      </c>
      <c r="G832" s="2" t="inlineStr">
        <is>
          <t>span</t>
        </is>
      </c>
      <c r="H832" s="2" t="inlineStr">
        <is>
          <t>제50조의10</t>
        </is>
      </c>
      <c r="I832" s="2" t="inlineStr"/>
      <c r="J832" s="2" t="inlineStr">
        <is>
          <t>국가법령정보센터 Open API (www.law.go.kr) — 여신전문금융업법 (시행 20251001)</t>
        </is>
      </c>
      <c r="K832" s="2" t="inlineStr">
        <is>
          <t>제50조의10</t>
        </is>
      </c>
      <c r="L832" s="2" t="inlineStr">
        <is>
          <t xml:space="preserve">제50조의10(광고의 자율심의)
① 여신전문금융회사와 겸영여신업자(이하 "여신전문금융회사등"이라 한다)가 제13조제1항제1호, 제46조제1항제1호ㆍ제3호, 그 밖에 대통령령으로 정하는 업무와 관련하여 취급하는 금융상품 중 대통령령으로 정하는 금융상품에 관하여 광고를 하려는 경우에는 광고계획신고서와 광고안을 협회에 제출하여 심의를 받아야 한다. 
② 협회는 </t>
        </is>
      </c>
    </row>
    <row r="833">
      <c r="A833" s="2" t="inlineStr">
        <is>
          <t>REG-0832</t>
        </is>
      </c>
      <c r="B833" s="2" t="inlineStr">
        <is>
          <t>규정형</t>
        </is>
      </c>
      <c r="C833" s="2" t="inlineStr">
        <is>
          <t>공통</t>
        </is>
      </c>
      <c r="D833" s="2" t="inlineStr">
        <is>
          <t>은행법</t>
        </is>
      </c>
      <c r="E833" s="2" t="inlineStr">
        <is>
          <t>definition_term</t>
        </is>
      </c>
      <c r="F833" s="2" t="inlineStr">
        <is>
          <t>다음은 「은행법」 제2조의 정의 조문이다: “예금을 받거나 유가증권 또는 그 밖의 채무증서를 발행하여 불특정 다수인으로부터 채무를 부담함으로써 조달한 자금을 대출하는 것을 업(業)으로 하는 것” — 이 정의가 가리키는 용어는?</t>
        </is>
      </c>
      <c r="G833" s="2" t="inlineStr">
        <is>
          <t>span</t>
        </is>
      </c>
      <c r="H833" s="2" t="inlineStr">
        <is>
          <t>은행업</t>
        </is>
      </c>
      <c r="I833" s="2" t="inlineStr"/>
      <c r="J833" s="2" t="inlineStr">
        <is>
          <t>국가법령정보센터 Open API (www.law.go.kr) — 은행법 (시행 20260701)</t>
        </is>
      </c>
      <c r="K833" s="2" t="inlineStr">
        <is>
          <t>제2조</t>
        </is>
      </c>
      <c r="L833" s="2" t="inlineStr">
        <is>
          <t xml:space="preserve">제2조(정의)
① 이 법에서 사용하는 용어의 뜻은 다음과 같다.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t>
        </is>
      </c>
    </row>
    <row r="834">
      <c r="A834" s="2" t="inlineStr">
        <is>
          <t>REG-0833</t>
        </is>
      </c>
      <c r="B834" s="2" t="inlineStr">
        <is>
          <t>규정형</t>
        </is>
      </c>
      <c r="C834" s="2" t="inlineStr">
        <is>
          <t>공통</t>
        </is>
      </c>
      <c r="D834" s="2" t="inlineStr">
        <is>
          <t>은행법</t>
        </is>
      </c>
      <c r="E834" s="2" t="inlineStr">
        <is>
          <t>definition_term</t>
        </is>
      </c>
      <c r="F834" s="2" t="inlineStr">
        <is>
          <t>「은행법」 제2조에서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업무”(이)라고 정의된 용어는 무엇인가?</t>
        </is>
      </c>
      <c r="G834" s="2" t="inlineStr">
        <is>
          <t>span</t>
        </is>
      </c>
      <c r="H834" s="2" t="inlineStr">
        <is>
          <t>상업금융업무</t>
        </is>
      </c>
      <c r="I834" s="2" t="inlineStr"/>
      <c r="J834" s="2" t="inlineStr">
        <is>
          <t>국가법령정보센터 Open API (www.law.go.kr) — 은행법 (시행 20260701)</t>
        </is>
      </c>
      <c r="K834" s="2" t="inlineStr">
        <is>
          <t>제2조</t>
        </is>
      </c>
      <c r="L834" s="2" t="inlineStr">
        <is>
          <t xml:space="preserve">제2조(정의)
① 이 법에서 사용하는 용어의 뜻은 다음과 같다.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t>
        </is>
      </c>
    </row>
    <row r="835">
      <c r="A835" s="2" t="inlineStr">
        <is>
          <t>REG-0834</t>
        </is>
      </c>
      <c r="B835" s="2" t="inlineStr">
        <is>
          <t>규정형</t>
        </is>
      </c>
      <c r="C835" s="2" t="inlineStr">
        <is>
          <t>공통</t>
        </is>
      </c>
      <c r="D835" s="2" t="inlineStr">
        <is>
          <t>은행법</t>
        </is>
      </c>
      <c r="E835" s="2" t="inlineStr">
        <is>
          <t>definition_term</t>
        </is>
      </c>
      <c r="F835" s="2" t="inlineStr">
        <is>
          <t>「은행법」 제2조(정의)에서 “자본금ㆍ적립금 및 그 밖의 잉여금, 1년 이상의 기한부 예금 또는 사채(社債)나 그 밖의 채권을 발행하여 조달한 자금을 1년을 초과하는 기한으로 대출하는 업무”(으)로 정의되는 용어는 무엇인가?</t>
        </is>
      </c>
      <c r="G835" s="2" t="inlineStr">
        <is>
          <t>span</t>
        </is>
      </c>
      <c r="H835" s="2" t="inlineStr">
        <is>
          <t>장기금융업무</t>
        </is>
      </c>
      <c r="I835" s="2" t="inlineStr"/>
      <c r="J835" s="2" t="inlineStr">
        <is>
          <t>국가법령정보센터 Open API (www.law.go.kr) — 은행법 (시행 20260701)</t>
        </is>
      </c>
      <c r="K835" s="2" t="inlineStr">
        <is>
          <t>제2조</t>
        </is>
      </c>
      <c r="L835" s="2" t="inlineStr">
        <is>
          <t xml:space="preserve">제2조(정의)
① 이 법에서 사용하는 용어의 뜻은 다음과 같다.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t>
        </is>
      </c>
    </row>
    <row r="836">
      <c r="A836" s="2" t="inlineStr">
        <is>
          <t>REG-0835</t>
        </is>
      </c>
      <c r="B836" s="2" t="inlineStr">
        <is>
          <t>규정형</t>
        </is>
      </c>
      <c r="C836" s="2" t="inlineStr">
        <is>
          <t>공통</t>
        </is>
      </c>
      <c r="D836" s="2" t="inlineStr">
        <is>
          <t>은행법</t>
        </is>
      </c>
      <c r="E836" s="2" t="inlineStr">
        <is>
          <t>definition_term</t>
        </is>
      </c>
      <c r="F836" s="2" t="inlineStr">
        <is>
          <t>다음은 「은행법」 제2조의 정의 조문이다: “국제결제은행의 기준에 따른 기본자본과 보완자본의 합계액” — 이 정의가 가리키는 용어는?</t>
        </is>
      </c>
      <c r="G836" s="2" t="inlineStr">
        <is>
          <t>span</t>
        </is>
      </c>
      <c r="H836" s="2" t="inlineStr">
        <is>
          <t>자기자본</t>
        </is>
      </c>
      <c r="I836" s="2" t="inlineStr"/>
      <c r="J836" s="2" t="inlineStr">
        <is>
          <t>국가법령정보센터 Open API (www.law.go.kr) — 은행법 (시행 20260701)</t>
        </is>
      </c>
      <c r="K836" s="2" t="inlineStr">
        <is>
          <t>제2조</t>
        </is>
      </c>
      <c r="L836" s="2" t="inlineStr">
        <is>
          <t xml:space="preserve">제2조(정의)
① 이 법에서 사용하는 용어의 뜻은 다음과 같다.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t>
        </is>
      </c>
    </row>
    <row r="837">
      <c r="A837" s="2" t="inlineStr">
        <is>
          <t>REG-0836</t>
        </is>
      </c>
      <c r="B837" s="2" t="inlineStr">
        <is>
          <t>규정형</t>
        </is>
      </c>
      <c r="C837" s="2" t="inlineStr">
        <is>
          <t>공통</t>
        </is>
      </c>
      <c r="D837" s="2" t="inlineStr">
        <is>
          <t>은행법</t>
        </is>
      </c>
      <c r="E837" s="2" t="inlineStr">
        <is>
          <t>definition_term</t>
        </is>
      </c>
      <c r="F837" s="2" t="inlineStr">
        <is>
          <t>「은행법」 제2조에서 “대출, 지급보증 및 유가증권의 매입(자금지원적 성격인 것만 해당한다), 그 밖에 금융거래상의 신용위험이 따르는 은행의 직접적ㆍ간접적 거래”(이)라고 정의된 용어는 무엇인가?</t>
        </is>
      </c>
      <c r="G837" s="2" t="inlineStr">
        <is>
          <t>span</t>
        </is>
      </c>
      <c r="H837" s="2" t="inlineStr">
        <is>
          <t>신용공여</t>
        </is>
      </c>
      <c r="I837" s="2" t="inlineStr"/>
      <c r="J837" s="2" t="inlineStr">
        <is>
          <t>국가법령정보센터 Open API (www.law.go.kr) — 은행법 (시행 20260701)</t>
        </is>
      </c>
      <c r="K837" s="2" t="inlineStr">
        <is>
          <t>제2조</t>
        </is>
      </c>
      <c r="L837" s="2" t="inlineStr">
        <is>
          <t xml:space="preserve">제2조(정의)
① 이 법에서 사용하는 용어의 뜻은 다음과 같다.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t>
        </is>
      </c>
    </row>
    <row r="838">
      <c r="A838" s="2" t="inlineStr">
        <is>
          <t>REG-0837</t>
        </is>
      </c>
      <c r="B838" s="2" t="inlineStr">
        <is>
          <t>규정형</t>
        </is>
      </c>
      <c r="C838" s="2" t="inlineStr">
        <is>
          <t>공통</t>
        </is>
      </c>
      <c r="D838" s="2" t="inlineStr">
        <is>
          <t>은행법</t>
        </is>
      </c>
      <c r="E838" s="2" t="inlineStr">
        <is>
          <t>definition_term</t>
        </is>
      </c>
      <c r="F838" s="2" t="inlineStr">
        <is>
          <t>「은행법」 제2조에서 “본인 및 그와 대통령령으로 정하는 특수관계에 있는 자(이하 "특수관계인"이라 한다)”(이)라고 정의된 용어는 무엇인가?</t>
        </is>
      </c>
      <c r="G838" s="2" t="inlineStr">
        <is>
          <t>span</t>
        </is>
      </c>
      <c r="H838" s="2" t="inlineStr">
        <is>
          <t>동일인</t>
        </is>
      </c>
      <c r="I838" s="2" t="inlineStr"/>
      <c r="J838" s="2" t="inlineStr">
        <is>
          <t>국가법령정보센터 Open API (www.law.go.kr) — 은행법 (시행 20260701)</t>
        </is>
      </c>
      <c r="K838" s="2" t="inlineStr">
        <is>
          <t>제2조</t>
        </is>
      </c>
      <c r="L838" s="2" t="inlineStr">
        <is>
          <t xml:space="preserve">제2조(정의)
① 이 법에서 사용하는 용어의 뜻은 다음과 같다.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t>
        </is>
      </c>
    </row>
    <row r="839">
      <c r="A839" s="2" t="inlineStr">
        <is>
          <t>REG-0838</t>
        </is>
      </c>
      <c r="B839" s="2" t="inlineStr">
        <is>
          <t>규정형</t>
        </is>
      </c>
      <c r="C839" s="2" t="inlineStr">
        <is>
          <t>펀드</t>
        </is>
      </c>
      <c r="D839" s="2" t="inlineStr">
        <is>
          <t>자본시장과 금융투자업에 관한 법률</t>
        </is>
      </c>
      <c r="E839" s="2" t="inlineStr">
        <is>
          <t>definition_term</t>
        </is>
      </c>
      <c r="F839" s="2" t="inlineStr">
        <is>
          <t>「자본시장과 금융투자업에 관한 법률」 제9조(정의)에서 “「금융회사의 지배구조에 관한 법률」 제2조제6호에 따른 주주”(으)로 정의되는 용어는 무엇인가?</t>
        </is>
      </c>
      <c r="G839" s="2" t="inlineStr">
        <is>
          <t>span</t>
        </is>
      </c>
      <c r="H839" s="2" t="inlineStr">
        <is>
          <t>대주주</t>
        </is>
      </c>
      <c r="I839" s="2" t="inlineStr"/>
      <c r="J839" s="2" t="inlineStr">
        <is>
          <t>국가법령정보센터 Open API (www.law.go.kr) — 자본시장과 금융투자업에 관한 법률 (시행 20260203)</t>
        </is>
      </c>
      <c r="K839" s="2" t="inlineStr">
        <is>
          <t>제9조</t>
        </is>
      </c>
      <c r="L839" s="2" t="inlineStr">
        <is>
          <t>제9조(그 밖의 용어의 정의)
① 이 법에서 "대주주"란 「금융회사의 지배구조에 관한 법률」 제2조제6호에 따른 주주를 말한다. 이 경우 "금융회사"는 "법인"으로 본다. 
② 이 법에서 "임원"이란 이사 및 감사를 말한다.
③ 이 법에서 "사외이사"란 상시적인 업무에 종사하지 아니하는 사람으로서 「금융회사의 지배구조에 관한 법률」 제17조에 따라 선임되는</t>
        </is>
      </c>
    </row>
    <row r="840">
      <c r="A840" s="2" t="inlineStr">
        <is>
          <t>REG-0839</t>
        </is>
      </c>
      <c r="B840" s="2" t="inlineStr">
        <is>
          <t>규정형</t>
        </is>
      </c>
      <c r="C840" s="2" t="inlineStr">
        <is>
          <t>펀드</t>
        </is>
      </c>
      <c r="D840" s="2" t="inlineStr">
        <is>
          <t>자본시장과 금융투자업에 관한 법률</t>
        </is>
      </c>
      <c r="E840" s="2" t="inlineStr">
        <is>
          <t>definition_term</t>
        </is>
      </c>
      <c r="F840" s="2" t="inlineStr">
        <is>
          <t>다음은 「자본시장과 금융투자업에 관한 법률」 제9조의 정의 조문이다: “상시적인 업무에 종사하지 아니하는 사람으로서 「금융회사의 지배구조에 관한 법률」 제17조에 따라 선임되는 이사” — 이 정의가 가리키는 용어는?</t>
        </is>
      </c>
      <c r="G840" s="2" t="inlineStr">
        <is>
          <t>span</t>
        </is>
      </c>
      <c r="H840" s="2" t="inlineStr">
        <is>
          <t>사외이사</t>
        </is>
      </c>
      <c r="I840" s="2" t="inlineStr"/>
      <c r="J840" s="2" t="inlineStr">
        <is>
          <t>국가법령정보센터 Open API (www.law.go.kr) — 자본시장과 금융투자업에 관한 법률 (시행 20260203)</t>
        </is>
      </c>
      <c r="K840" s="2" t="inlineStr">
        <is>
          <t>제9조</t>
        </is>
      </c>
      <c r="L840" s="2" t="inlineStr">
        <is>
          <t>제9조(그 밖의 용어의 정의)
① 이 법에서 "대주주"란 「금융회사의 지배구조에 관한 법률」 제2조제6호에 따른 주주를 말한다. 이 경우 "금융회사"는 "법인"으로 본다. 
② 이 법에서 "임원"이란 이사 및 감사를 말한다.
③ 이 법에서 "사외이사"란 상시적인 업무에 종사하지 아니하는 사람으로서 「금융회사의 지배구조에 관한 법률」 제17조에 따라 선임되는</t>
        </is>
      </c>
    </row>
    <row r="841">
      <c r="A841" s="2" t="inlineStr">
        <is>
          <t>REG-0840</t>
        </is>
      </c>
      <c r="B841" s="2" t="inlineStr">
        <is>
          <t>규정형</t>
        </is>
      </c>
      <c r="C841" s="2" t="inlineStr">
        <is>
          <t>펀드</t>
        </is>
      </c>
      <c r="D841" s="2" t="inlineStr">
        <is>
          <t>자본시장과 금융투자업에 관한 법률</t>
        </is>
      </c>
      <c r="E841" s="2" t="inlineStr">
        <is>
          <t>definition_term</t>
        </is>
      </c>
      <c r="F841" s="2" t="inlineStr">
        <is>
          <t>「자본시장과 금융투자업에 관한 법률」 제9조에서 “특정 투자자를 상대로 금융투자상품의 매매 또는 투자자문계약ㆍ투자일임계약ㆍ신탁계약(관리형신탁계약 및 투자성 없는 신탁계약을 제외한다)의 체결을 권유하는 것”(이)라고 정의된 용어는 무엇인가?</t>
        </is>
      </c>
      <c r="G841" s="2" t="inlineStr">
        <is>
          <t>span</t>
        </is>
      </c>
      <c r="H841" s="2" t="inlineStr">
        <is>
          <t>투자권유</t>
        </is>
      </c>
      <c r="I841" s="2" t="inlineStr"/>
      <c r="J841" s="2" t="inlineStr">
        <is>
          <t>국가법령정보센터 Open API (www.law.go.kr) — 자본시장과 금융투자업에 관한 법률 (시행 20260203)</t>
        </is>
      </c>
      <c r="K841" s="2" t="inlineStr">
        <is>
          <t>제9조</t>
        </is>
      </c>
      <c r="L841" s="2" t="inlineStr">
        <is>
          <t>제9조(그 밖의 용어의 정의)
① 이 법에서 "대주주"란 「금융회사의 지배구조에 관한 법률」 제2조제6호에 따른 주주를 말한다. 이 경우 "금융회사"는 "법인"으로 본다. 
② 이 법에서 "임원"이란 이사 및 감사를 말한다.
③ 이 법에서 "사외이사"란 상시적인 업무에 종사하지 아니하는 사람으로서 「금융회사의 지배구조에 관한 법률」 제17조에 따라 선임되는</t>
        </is>
      </c>
    </row>
    <row r="842">
      <c r="A842" s="2" t="inlineStr">
        <is>
          <t>REG-0841</t>
        </is>
      </c>
      <c r="B842" s="2" t="inlineStr">
        <is>
          <t>규정형</t>
        </is>
      </c>
      <c r="C842" s="2" t="inlineStr">
        <is>
          <t>펀드</t>
        </is>
      </c>
      <c r="D842" s="2" t="inlineStr">
        <is>
          <t>자본시장과 금융투자업에 관한 법률</t>
        </is>
      </c>
      <c r="E842" s="2" t="inlineStr">
        <is>
          <t>definition_term</t>
        </is>
      </c>
      <c r="F842" s="2" t="inlineStr">
        <is>
          <t>「자본시장과 금융투자업에 관한 법률」 제9조에서 “대통령령으로 정하는 방법에 따라 산출한 50인 이상의 투자자에게 새로 발행되는 증권의 취득의 청약을 권유하는 것”(이)라고 정의된 용어는 무엇인가?</t>
        </is>
      </c>
      <c r="G842" s="2" t="inlineStr">
        <is>
          <t>span</t>
        </is>
      </c>
      <c r="H842" s="2" t="inlineStr">
        <is>
          <t>모집</t>
        </is>
      </c>
      <c r="I842" s="2" t="inlineStr"/>
      <c r="J842" s="2" t="inlineStr">
        <is>
          <t>국가법령정보센터 Open API (www.law.go.kr) — 자본시장과 금융투자업에 관한 법률 (시행 20260203)</t>
        </is>
      </c>
      <c r="K842" s="2" t="inlineStr">
        <is>
          <t>제9조</t>
        </is>
      </c>
      <c r="L842" s="2" t="inlineStr">
        <is>
          <t>제9조(그 밖의 용어의 정의)
① 이 법에서 "대주주"란 「금융회사의 지배구조에 관한 법률」 제2조제6호에 따른 주주를 말한다. 이 경우 "금융회사"는 "법인"으로 본다. 
② 이 법에서 "임원"이란 이사 및 감사를 말한다.
③ 이 법에서 "사외이사"란 상시적인 업무에 종사하지 아니하는 사람으로서 「금융회사의 지배구조에 관한 법률」 제17조에 따라 선임되는</t>
        </is>
      </c>
    </row>
    <row r="843">
      <c r="A843" s="2" t="inlineStr">
        <is>
          <t>REG-0842</t>
        </is>
      </c>
      <c r="B843" s="2" t="inlineStr">
        <is>
          <t>규정형</t>
        </is>
      </c>
      <c r="C843" s="2" t="inlineStr">
        <is>
          <t>펀드</t>
        </is>
      </c>
      <c r="D843" s="2" t="inlineStr">
        <is>
          <t>자본시장과 금융투자업에 관한 법률</t>
        </is>
      </c>
      <c r="E843" s="2" t="inlineStr">
        <is>
          <t>definition_term</t>
        </is>
      </c>
      <c r="F843" s="2" t="inlineStr">
        <is>
          <t>「자본시장과 금융투자업에 관한 법률」 제9조(정의)에서 “새로 발행되는 증권의 취득의 청약을 권유하는 것으로서 모집에 해당하지 아니하는 것”(으)로 정의되는 용어는 무엇인가?</t>
        </is>
      </c>
      <c r="G843" s="2" t="inlineStr">
        <is>
          <t>span</t>
        </is>
      </c>
      <c r="H843" s="2" t="inlineStr">
        <is>
          <t>사모</t>
        </is>
      </c>
      <c r="I843" s="2" t="inlineStr"/>
      <c r="J843" s="2" t="inlineStr">
        <is>
          <t>국가법령정보센터 Open API (www.law.go.kr) — 자본시장과 금융투자업에 관한 법률 (시행 20260203)</t>
        </is>
      </c>
      <c r="K843" s="2" t="inlineStr">
        <is>
          <t>제9조</t>
        </is>
      </c>
      <c r="L843" s="2" t="inlineStr">
        <is>
          <t>제9조(그 밖의 용어의 정의)
① 이 법에서 "대주주"란 「금융회사의 지배구조에 관한 법률」 제2조제6호에 따른 주주를 말한다. 이 경우 "금융회사"는 "법인"으로 본다. 
② 이 법에서 "임원"이란 이사 및 감사를 말한다.
③ 이 법에서 "사외이사"란 상시적인 업무에 종사하지 아니하는 사람으로서 「금융회사의 지배구조에 관한 법률」 제17조에 따라 선임되는</t>
        </is>
      </c>
    </row>
    <row r="844">
      <c r="A844" s="2" t="inlineStr">
        <is>
          <t>REG-0843</t>
        </is>
      </c>
      <c r="B844" s="2" t="inlineStr">
        <is>
          <t>규정형</t>
        </is>
      </c>
      <c r="C844" s="2" t="inlineStr">
        <is>
          <t>펀드</t>
        </is>
      </c>
      <c r="D844" s="2" t="inlineStr">
        <is>
          <t>자본시장과 금융투자업에 관한 법률</t>
        </is>
      </c>
      <c r="E844" s="2" t="inlineStr">
        <is>
          <t>definition_term</t>
        </is>
      </c>
      <c r="F844" s="2" t="inlineStr">
        <is>
          <t>「자본시장과 금융투자업에 관한 법률」 제9조에서 “대통령령으로 정하는 방법에 따라 산출한 50인 이상의 투자자에게 이미 발행된 증권의 매도의 청약을 하거나 매수의 청약을 권유하는 것”(이)라고 정의된 용어는 무엇인가?</t>
        </is>
      </c>
      <c r="G844" s="2" t="inlineStr">
        <is>
          <t>span</t>
        </is>
      </c>
      <c r="H844" s="2" t="inlineStr">
        <is>
          <t>매출</t>
        </is>
      </c>
      <c r="I844" s="2" t="inlineStr"/>
      <c r="J844" s="2" t="inlineStr">
        <is>
          <t>국가법령정보센터 Open API (www.law.go.kr) — 자본시장과 금융투자업에 관한 법률 (시행 20260203)</t>
        </is>
      </c>
      <c r="K844" s="2" t="inlineStr">
        <is>
          <t>제9조</t>
        </is>
      </c>
      <c r="L844" s="2" t="inlineStr">
        <is>
          <t>제9조(그 밖의 용어의 정의)
① 이 법에서 "대주주"란 「금융회사의 지배구조에 관한 법률」 제2조제6호에 따른 주주를 말한다. 이 경우 "금융회사"는 "법인"으로 본다. 
② 이 법에서 "임원"이란 이사 및 감사를 말한다.
③ 이 법에서 "사외이사"란 상시적인 업무에 종사하지 아니하는 사람으로서 「금융회사의 지배구조에 관한 법률」 제17조에 따라 선임되는</t>
        </is>
      </c>
    </row>
    <row r="845">
      <c r="A845" s="2" t="inlineStr">
        <is>
          <t>REG-0844</t>
        </is>
      </c>
      <c r="B845" s="2" t="inlineStr">
        <is>
          <t>규정형</t>
        </is>
      </c>
      <c r="C845" s="2" t="inlineStr">
        <is>
          <t>펀드</t>
        </is>
      </c>
      <c r="D845" s="2" t="inlineStr">
        <is>
          <t>자본시장과 금융투자업에 관한 법률</t>
        </is>
      </c>
      <c r="E845" s="2" t="inlineStr">
        <is>
          <t>definition_term</t>
        </is>
      </c>
      <c r="F845" s="2" t="inlineStr">
        <is>
          <t>다음은 「자본시장과 금융투자업에 관한 법률」 제9조의 정의 조문이다: “증권을 모집ㆍ사모ㆍ매출하는 경우 인수를 하는 자” — 이 정의가 가리키는 용어는?</t>
        </is>
      </c>
      <c r="G845" s="2" t="inlineStr">
        <is>
          <t>span</t>
        </is>
      </c>
      <c r="H845" s="2" t="inlineStr">
        <is>
          <t>인수인</t>
        </is>
      </c>
      <c r="I845" s="2" t="inlineStr"/>
      <c r="J845" s="2" t="inlineStr">
        <is>
          <t>국가법령정보센터 Open API (www.law.go.kr) — 자본시장과 금융투자업에 관한 법률 (시행 20260203)</t>
        </is>
      </c>
      <c r="K845" s="2" t="inlineStr">
        <is>
          <t>제9조</t>
        </is>
      </c>
      <c r="L845" s="2" t="inlineStr">
        <is>
          <t>제9조(그 밖의 용어의 정의)
① 이 법에서 "대주주"란 「금융회사의 지배구조에 관한 법률」 제2조제6호에 따른 주주를 말한다. 이 경우 "금융회사"는 "법인"으로 본다. 
② 이 법에서 "임원"이란 이사 및 감사를 말한다.
③ 이 법에서 "사외이사"란 상시적인 업무에 종사하지 아니하는 사람으로서 「금융회사의 지배구조에 관한 법률」 제17조에 따라 선임되는</t>
        </is>
      </c>
    </row>
    <row r="846">
      <c r="A846" s="2" t="inlineStr">
        <is>
          <t>REG-0845</t>
        </is>
      </c>
      <c r="B846" s="2" t="inlineStr">
        <is>
          <t>규정형</t>
        </is>
      </c>
      <c r="C846" s="2" t="inlineStr">
        <is>
          <t>펀드</t>
        </is>
      </c>
      <c r="D846" s="2" t="inlineStr">
        <is>
          <t>자본시장과 금융투자업에 관한 법률</t>
        </is>
      </c>
      <c r="E846" s="2" t="inlineStr">
        <is>
          <t>definition_term</t>
        </is>
      </c>
      <c r="F846" s="2" t="inlineStr">
        <is>
          <t>「자본시장과 금융투자업에 관한 법률」 제9조에서 “제11항에 따른 행위 외에 발행인 또는 매출인을 위하여 해당 증권의 모집ㆍ사모ㆍ매출을 하거나 그 밖에 직접 또는 간접으로 증권의 모집ㆍ사모ㆍ매출을 분담하는 자”(이)라고 정의된 용어는 무엇인가?</t>
        </is>
      </c>
      <c r="G846" s="2" t="inlineStr">
        <is>
          <t>span</t>
        </is>
      </c>
      <c r="H846" s="2" t="inlineStr">
        <is>
          <t>주선인</t>
        </is>
      </c>
      <c r="I846" s="2" t="inlineStr"/>
      <c r="J846" s="2" t="inlineStr">
        <is>
          <t>국가법령정보센터 Open API (www.law.go.kr) — 자본시장과 금융투자업에 관한 법률 (시행 20260203)</t>
        </is>
      </c>
      <c r="K846" s="2" t="inlineStr">
        <is>
          <t>제9조</t>
        </is>
      </c>
      <c r="L846" s="2" t="inlineStr">
        <is>
          <t>제9조(그 밖의 용어의 정의)
① 이 법에서 "대주주"란 「금융회사의 지배구조에 관한 법률」 제2조제6호에 따른 주주를 말한다. 이 경우 "금융회사"는 "법인"으로 본다. 
② 이 법에서 "임원"이란 이사 및 감사를 말한다.
③ 이 법에서 "사외이사"란 상시적인 업무에 종사하지 아니하는 사람으로서 「금융회사의 지배구조에 관한 법률」 제17조에 따라 선임되는</t>
        </is>
      </c>
    </row>
    <row r="847">
      <c r="A847" s="2" t="inlineStr">
        <is>
          <t>REG-0846</t>
        </is>
      </c>
      <c r="B847" s="2" t="inlineStr">
        <is>
          <t>규정형</t>
        </is>
      </c>
      <c r="C847" s="2" t="inlineStr">
        <is>
          <t>펀드</t>
        </is>
      </c>
      <c r="D847" s="2" t="inlineStr">
        <is>
          <t>자본시장과 금융투자업에 관한 법률</t>
        </is>
      </c>
      <c r="E847" s="2" t="inlineStr">
        <is>
          <t>definition_term</t>
        </is>
      </c>
      <c r="F847" s="2" t="inlineStr">
        <is>
          <t>「자본시장과 금융투자업에 관한 법률」 제9조에서 “증권의 소유자로서 스스로 또는 인수인이나 주선인을 통하여 그 증권을 매출하였거나 매출하려는 자”(이)라고 정의된 용어는 무엇인가?</t>
        </is>
      </c>
      <c r="G847" s="2" t="inlineStr">
        <is>
          <t>span</t>
        </is>
      </c>
      <c r="H847" s="2" t="inlineStr">
        <is>
          <t>매출인</t>
        </is>
      </c>
      <c r="I847" s="2" t="inlineStr"/>
      <c r="J847" s="2" t="inlineStr">
        <is>
          <t>국가법령정보센터 Open API (www.law.go.kr) — 자본시장과 금융투자업에 관한 법률 (시행 20260203)</t>
        </is>
      </c>
      <c r="K847" s="2" t="inlineStr">
        <is>
          <t>제9조</t>
        </is>
      </c>
      <c r="L847" s="2" t="inlineStr">
        <is>
          <t>제9조(그 밖의 용어의 정의)
① 이 법에서 "대주주"란 「금융회사의 지배구조에 관한 법률」 제2조제6호에 따른 주주를 말한다. 이 경우 "금융회사"는 "법인"으로 본다. 
② 이 법에서 "임원"이란 이사 및 감사를 말한다.
③ 이 법에서 "사외이사"란 상시적인 업무에 종사하지 아니하는 사람으로서 「금융회사의 지배구조에 관한 법률」 제17조에 따라 선임되는</t>
        </is>
      </c>
    </row>
    <row r="848">
      <c r="A848" s="2" t="inlineStr">
        <is>
          <t>REG-0847</t>
        </is>
      </c>
      <c r="B848" s="2" t="inlineStr">
        <is>
          <t>규정형</t>
        </is>
      </c>
      <c r="C848" s="2" t="inlineStr">
        <is>
          <t>펀드</t>
        </is>
      </c>
      <c r="D848" s="2" t="inlineStr">
        <is>
          <t>자본시장과 금융투자업에 관한 법률</t>
        </is>
      </c>
      <c r="E848" s="2" t="inlineStr">
        <is>
          <t>definition_term</t>
        </is>
      </c>
      <c r="F848" s="2" t="inlineStr">
        <is>
          <t>다음은 「자본시장과 금융투자업에 관한 법률」 제9조의 정의 조문이다: “집합투자기구의 재산으로서 투자신탁재산, 투자회사재산, 투자유한회사재산, 투자합자회사재산, 투자유한책임회사재산, 투자합자조합재산 및 투자익명조합재산” — 이 정의가 가리키는 용어는?</t>
        </is>
      </c>
      <c r="G848" s="2" t="inlineStr">
        <is>
          <t>span</t>
        </is>
      </c>
      <c r="H848" s="2" t="inlineStr">
        <is>
          <t>집합투자재산</t>
        </is>
      </c>
      <c r="I848" s="2" t="inlineStr"/>
      <c r="J848" s="2" t="inlineStr">
        <is>
          <t>국가법령정보센터 Open API (www.law.go.kr) — 자본시장과 금융투자업에 관한 법률 (시행 20260203)</t>
        </is>
      </c>
      <c r="K848" s="2" t="inlineStr">
        <is>
          <t>제9조</t>
        </is>
      </c>
      <c r="L848" s="2" t="inlineStr">
        <is>
          <t>제9조(그 밖의 용어의 정의)
① 이 법에서 "대주주"란 「금융회사의 지배구조에 관한 법률」 제2조제6호에 따른 주주를 말한다. 이 경우 "금융회사"는 "법인"으로 본다. 
② 이 법에서 "임원"이란 이사 및 감사를 말한다.
③ 이 법에서 "사외이사"란 상시적인 업무에 종사하지 아니하는 사람으로서 「금융회사의 지배구조에 관한 법률」 제17조에 따라 선임되는</t>
        </is>
      </c>
    </row>
    <row r="849">
      <c r="A849" s="2" t="inlineStr">
        <is>
          <t>REG-0848</t>
        </is>
      </c>
      <c r="B849" s="2" t="inlineStr">
        <is>
          <t>규정형</t>
        </is>
      </c>
      <c r="C849" s="2" t="inlineStr">
        <is>
          <t>펀드</t>
        </is>
      </c>
      <c r="D849" s="2" t="inlineStr">
        <is>
          <t>자본시장과 금융투자업에 관한 법률</t>
        </is>
      </c>
      <c r="E849" s="2" t="inlineStr">
        <is>
          <t>definition_term</t>
        </is>
      </c>
      <c r="F849" s="2" t="inlineStr">
        <is>
          <t>다음은 「자본시장과 금융투자업에 관한 법률」 제9조의 정의 조문이다: “집합투자기구의 조직, 운영 및 투자자의 권리ㆍ의무를 정한 것으로서 투자신탁의 신탁계약, 투자회사ㆍ투자유한회사ㆍ투자합자회사ㆍ투자유한책임회사의 정관 및 투자합자조합ㆍ투자익명조합의 조합계약” — 이 정의가 가리키는 용어는?</t>
        </is>
      </c>
      <c r="G849" s="2" t="inlineStr">
        <is>
          <t>span</t>
        </is>
      </c>
      <c r="H849" s="2" t="inlineStr">
        <is>
          <t>집합투자규약</t>
        </is>
      </c>
      <c r="I849" s="2" t="inlineStr"/>
      <c r="J849" s="2" t="inlineStr">
        <is>
          <t>국가법령정보센터 Open API (www.law.go.kr) — 자본시장과 금융투자업에 관한 법률 (시행 20260203)</t>
        </is>
      </c>
      <c r="K849" s="2" t="inlineStr">
        <is>
          <t>제9조</t>
        </is>
      </c>
      <c r="L849" s="2" t="inlineStr">
        <is>
          <t>제9조(그 밖의 용어의 정의)
① 이 법에서 "대주주"란 「금융회사의 지배구조에 관한 법률」 제2조제6호에 따른 주주를 말한다. 이 경우 "금융회사"는 "법인"으로 본다. 
② 이 법에서 "임원"이란 이사 및 감사를 말한다.
③ 이 법에서 "사외이사"란 상시적인 업무에 종사하지 아니하는 사람으로서 「금융회사의 지배구조에 관한 법률」 제17조에 따라 선임되는</t>
        </is>
      </c>
    </row>
    <row r="850">
      <c r="A850" s="2" t="inlineStr">
        <is>
          <t>REG-0849</t>
        </is>
      </c>
      <c r="B850" s="2" t="inlineStr">
        <is>
          <t>규정형</t>
        </is>
      </c>
      <c r="C850" s="2" t="inlineStr">
        <is>
          <t>펀드</t>
        </is>
      </c>
      <c r="D850" s="2" t="inlineStr">
        <is>
          <t>자본시장과 금융투자업에 관한 법률</t>
        </is>
      </c>
      <c r="E850" s="2" t="inlineStr">
        <is>
          <t>definition_term</t>
        </is>
      </c>
      <c r="F850" s="2" t="inlineStr">
        <is>
          <t>「자본시장과 금융투자업에 관한 법률」 제9조(정의)에서 “집합투자기구의 투자자 전원으로 구성된 의사결정기관으로서 수익자총회, 주주총회, 사원총회, 조합원총회 및 익명조합원총회”(으)로 정의되는 용어는 무엇인가?</t>
        </is>
      </c>
      <c r="G850" s="2" t="inlineStr">
        <is>
          <t>span</t>
        </is>
      </c>
      <c r="H850" s="2" t="inlineStr">
        <is>
          <t>집합투자자총회</t>
        </is>
      </c>
      <c r="I850" s="2" t="inlineStr"/>
      <c r="J850" s="2" t="inlineStr">
        <is>
          <t>국가법령정보센터 Open API (www.law.go.kr) — 자본시장과 금융투자업에 관한 법률 (시행 20260203)</t>
        </is>
      </c>
      <c r="K850" s="2" t="inlineStr">
        <is>
          <t>제9조</t>
        </is>
      </c>
      <c r="L850" s="2" t="inlineStr">
        <is>
          <t>제9조(그 밖의 용어의 정의)
① 이 법에서 "대주주"란 「금융회사의 지배구조에 관한 법률」 제2조제6호에 따른 주주를 말한다. 이 경우 "금융회사"는 "법인"으로 본다. 
② 이 법에서 "임원"이란 이사 및 감사를 말한다.
③ 이 법에서 "사외이사"란 상시적인 업무에 종사하지 아니하는 사람으로서 「금융회사의 지배구조에 관한 법률」 제17조에 따라 선임되는</t>
        </is>
      </c>
    </row>
    <row r="851">
      <c r="A851" s="2" t="inlineStr">
        <is>
          <t>REG-0850</t>
        </is>
      </c>
      <c r="B851" s="2" t="inlineStr">
        <is>
          <t>규정형</t>
        </is>
      </c>
      <c r="C851" s="2" t="inlineStr">
        <is>
          <t>예금</t>
        </is>
      </c>
      <c r="D851" s="2" t="inlineStr">
        <is>
          <t>예금자보호법</t>
        </is>
      </c>
      <c r="E851" s="2" t="inlineStr">
        <is>
          <t>definition_term</t>
        </is>
      </c>
      <c r="F851" s="2" t="inlineStr">
        <is>
          <t>「예금자보호법」 제2조에서 “예금자등이 예금등 금융거래를 하여 부보금융회사에 대하여 가지는 원금ㆍ원본ㆍ이자ㆍ이익ㆍ보험금 및 각종 지급금과 그 밖에 약정된 금전의 채권”(이)라고 정의된 용어는 무엇인가?</t>
        </is>
      </c>
      <c r="G851" s="2" t="inlineStr">
        <is>
          <t>span</t>
        </is>
      </c>
      <c r="H851" s="2" t="inlineStr">
        <is>
          <t>예금등 채권</t>
        </is>
      </c>
      <c r="I851" s="2" t="inlineStr"/>
      <c r="J851" s="2" t="inlineStr">
        <is>
          <t>국가법령정보센터 Open API (www.law.go.kr) — 예금자보호법 (시행 20260102)</t>
        </is>
      </c>
      <c r="K851" s="2" t="inlineStr">
        <is>
          <t>제2조</t>
        </is>
      </c>
      <c r="L851" s="2" t="inlineStr">
        <is>
          <t>제2조(정의) 이 법에서 사용하는 용어의 뜻은 다음과 같다. 
1. "부보금융회사"(附保金融會社)란 이 법에 따른 예금보험의 적용을 받는 자로서 다음 각 목의 어느 하나에 해당하는 금융회사를 말한다.
가. 「은행법」 제8조제1항에 따라 인가를 받은 은행
나. 「한국산업은행법」에 따른 한국산업은행
다. 「중소기업은행법」에 따른 중소기업은행
라. 「농업협동조합</t>
        </is>
      </c>
    </row>
    <row r="852">
      <c r="A852" s="2" t="inlineStr">
        <is>
          <t>REG-0851</t>
        </is>
      </c>
      <c r="B852" s="2" t="inlineStr">
        <is>
          <t>규정형</t>
        </is>
      </c>
      <c r="C852" s="2" t="inlineStr">
        <is>
          <t>예금</t>
        </is>
      </c>
      <c r="D852" s="2" t="inlineStr">
        <is>
          <t>예금자보호법</t>
        </is>
      </c>
      <c r="E852" s="2" t="inlineStr">
        <is>
          <t>definition_term</t>
        </is>
      </c>
      <c r="F852" s="2" t="inlineStr">
        <is>
          <t>「예금자보호법」 제2조(정의)에서 “재무구조가 취약하여 부실금융회사가 될 가능성이 매우 크다고 제8조에 따른 예금보험위원회가 결정하는 부보금융회사”(으)로 정의되는 용어는 무엇인가?</t>
        </is>
      </c>
      <c r="G852" s="2" t="inlineStr">
        <is>
          <t>span</t>
        </is>
      </c>
      <c r="H852" s="2" t="inlineStr">
        <is>
          <t>부실우려금융회사</t>
        </is>
      </c>
      <c r="I852" s="2" t="inlineStr"/>
      <c r="J852" s="2" t="inlineStr">
        <is>
          <t>국가법령정보센터 Open API (www.law.go.kr) — 예금자보호법 (시행 20260102)</t>
        </is>
      </c>
      <c r="K852" s="2" t="inlineStr">
        <is>
          <t>제2조</t>
        </is>
      </c>
      <c r="L852" s="2" t="inlineStr">
        <is>
          <t>제2조(정의) 이 법에서 사용하는 용어의 뜻은 다음과 같다. 
1. "부보금융회사"(附保金融會社)란 이 법에 따른 예금보험의 적용을 받는 자로서 다음 각 목의 어느 하나에 해당하는 금융회사를 말한다.
가. 「은행법」 제8조제1항에 따라 인가를 받은 은행
나. 「한국산업은행법」에 따른 한국산업은행
다. 「중소기업은행법」에 따른 중소기업은행
라. 「농업협동조합</t>
        </is>
      </c>
    </row>
    <row r="853">
      <c r="A853" s="2" t="inlineStr">
        <is>
          <t>REG-0852</t>
        </is>
      </c>
      <c r="B853" s="2" t="inlineStr">
        <is>
          <t>규정형</t>
        </is>
      </c>
      <c r="C853" s="2" t="inlineStr">
        <is>
          <t>예금</t>
        </is>
      </c>
      <c r="D853" s="2" t="inlineStr">
        <is>
          <t>예금자보호법</t>
        </is>
      </c>
      <c r="E853" s="2" t="inlineStr">
        <is>
          <t>definition_term</t>
        </is>
      </c>
      <c r="F853" s="2" t="inlineStr">
        <is>
          <t>다음은 「예금자보호법」 제2조의 정의 조문이다: “송금인의 착오로 수취금융회사, 수취계좌번호 등을 잘못 기재하거나 입력하여 수취인에게 자금(「전자금융거래법」 제2조제11호에 따른 전자지급수단 중 대통령령으로 정하는 것을 포함한다)이 이동된 거래” — 이 정의가 가리키는 용어는?</t>
        </is>
      </c>
      <c r="G853" s="2" t="inlineStr">
        <is>
          <t>span</t>
        </is>
      </c>
      <c r="H853" s="2" t="inlineStr">
        <is>
          <t>착오송금</t>
        </is>
      </c>
      <c r="I853" s="2" t="inlineStr"/>
      <c r="J853" s="2" t="inlineStr">
        <is>
          <t>국가법령정보센터 Open API (www.law.go.kr) — 예금자보호법 (시행 20260102)</t>
        </is>
      </c>
      <c r="K853" s="2" t="inlineStr">
        <is>
          <t>제2조</t>
        </is>
      </c>
      <c r="L853" s="2" t="inlineStr">
        <is>
          <t>제2조(정의) 이 법에서 사용하는 용어의 뜻은 다음과 같다. 
1. "부보금융회사"(附保金融會社)란 이 법에 따른 예금보험의 적용을 받는 자로서 다음 각 목의 어느 하나에 해당하는 금융회사를 말한다.
가. 「은행법」 제8조제1항에 따라 인가를 받은 은행
나. 「한국산업은행법」에 따른 한국산업은행
다. 「중소기업은행법」에 따른 중소기업은행
라. 「농업협동조합</t>
        </is>
      </c>
    </row>
    <row r="854">
      <c r="A854" s="2" t="inlineStr">
        <is>
          <t>REG-0853</t>
        </is>
      </c>
      <c r="B854" s="2" t="inlineStr">
        <is>
          <t>규정형</t>
        </is>
      </c>
      <c r="C854" s="2" t="inlineStr">
        <is>
          <t>예금</t>
        </is>
      </c>
      <c r="D854" s="2" t="inlineStr">
        <is>
          <t>예금자보호법</t>
        </is>
      </c>
      <c r="E854" s="2" t="inlineStr">
        <is>
          <t>definition_term</t>
        </is>
      </c>
      <c r="F854" s="2" t="inlineStr">
        <is>
          <t>「예금자보호법」 제2조(정의)에서 “「전자금융거래법」 제2조제3호에 따른 금융회사 및 같은 조 제4호에 따른 전자금융업자 중 대통령령으로 정하는 자”(으)로 정의되는 용어는 무엇인가?</t>
        </is>
      </c>
      <c r="G854" s="2" t="inlineStr">
        <is>
          <t>span</t>
        </is>
      </c>
      <c r="H854" s="2" t="inlineStr">
        <is>
          <t>자금이체 금융회사등</t>
        </is>
      </c>
      <c r="I854" s="2" t="inlineStr"/>
      <c r="J854" s="2" t="inlineStr">
        <is>
          <t>국가법령정보센터 Open API (www.law.go.kr) — 예금자보호법 (시행 20260102)</t>
        </is>
      </c>
      <c r="K854" s="2" t="inlineStr">
        <is>
          <t>제2조</t>
        </is>
      </c>
      <c r="L854" s="2" t="inlineStr">
        <is>
          <t>제2조(정의) 이 법에서 사용하는 용어의 뜻은 다음과 같다. 
1. "부보금융회사"(附保金融會社)란 이 법에 따른 예금보험의 적용을 받는 자로서 다음 각 목의 어느 하나에 해당하는 금융회사를 말한다.
가. 「은행법」 제8조제1항에 따라 인가를 받은 은행
나. 「한국산업은행법」에 따른 한국산업은행
다. 「중소기업은행법」에 따른 중소기업은행
라. 「농업협동조합</t>
        </is>
      </c>
    </row>
    <row r="855">
      <c r="A855" s="2" t="inlineStr">
        <is>
          <t>REG-0854</t>
        </is>
      </c>
      <c r="B855" s="2" t="inlineStr">
        <is>
          <t>규정형</t>
        </is>
      </c>
      <c r="C855" s="2" t="inlineStr">
        <is>
          <t>공통</t>
        </is>
      </c>
      <c r="D855" s="2" t="inlineStr">
        <is>
          <t>금융소비자 보호에 관한 법률</t>
        </is>
      </c>
      <c r="E855" s="2" t="inlineStr">
        <is>
          <t>definition_term</t>
        </is>
      </c>
      <c r="F855" s="2" t="inlineStr">
        <is>
          <t>「금융소비자 보호에 관한 법률」 제2조에서 “이익을 얻을 목적으로 계속적 또는 반복적인 방법으로 금융상품의 가치 또는 취득과 처분결정에 관한 자문(이하 "금융상품자문"이라 한다)에 응하는 것”(이)라고 정의된 용어는 무엇인가?</t>
        </is>
      </c>
      <c r="G855" s="2" t="inlineStr">
        <is>
          <t>span</t>
        </is>
      </c>
      <c r="H855" s="2" t="inlineStr">
        <is>
          <t>금융상품자문업</t>
        </is>
      </c>
      <c r="I855" s="2" t="inlineStr"/>
      <c r="J855" s="2" t="inlineStr">
        <is>
          <t>국가법령정보센터 Open API (www.law.go.kr) — 금융소비자 보호에 관한 법률 (시행 20260102)</t>
        </is>
      </c>
      <c r="K855" s="2" t="inlineStr">
        <is>
          <t>제2조</t>
        </is>
      </c>
      <c r="L855" s="2" t="inlineStr">
        <is>
          <t>제2조(정의) 이 법에서 사용하는 용어의 뜻은 다음과 같다. 
1. "금융상품"이란 다음 각 목의 어느 하나에 해당하는 것을 말한다.
가. 「은행법」에 따른 예금 및 대출
나. 「자본시장과 금융투자업에 관한 법률」에 따른 금융투자상품
다. 「보험업법」에 따른 보험상품
라. 「상호저축은행법」에 따른 예금 및 대출
마. 「여신전문금융업법」에 따른 신용카드, 시</t>
        </is>
      </c>
    </row>
    <row r="856">
      <c r="A856" s="2" t="inlineStr">
        <is>
          <t>REG-0855</t>
        </is>
      </c>
      <c r="B856" s="2" t="inlineStr">
        <is>
          <t>규정형</t>
        </is>
      </c>
      <c r="C856" s="2" t="inlineStr">
        <is>
          <t>공통</t>
        </is>
      </c>
      <c r="D856" s="2" t="inlineStr">
        <is>
          <t>금융소비자 보호에 관한 법률</t>
        </is>
      </c>
      <c r="E856" s="2" t="inlineStr">
        <is>
          <t>definition_term</t>
        </is>
      </c>
      <c r="F856" s="2" t="inlineStr">
        <is>
          <t>「금융소비자 보호에 관한 법률」 제2조(정의)에서 “금융상품자문업을 영위하는 자로서 금융관계법률에서 금융상품자문업에 해당하는 업무에 대하여 인허가 또는 등록을 하도록 규정한 경우에 해당 법률에 따른 인허가를 받거나 등록을 한 자 및 제12조제1항에 따라 금융상품자문업의 등록을 한 자”(으)로 정의되는 용어는 무엇인가?</t>
        </is>
      </c>
      <c r="G856" s="2" t="inlineStr">
        <is>
          <t>span</t>
        </is>
      </c>
      <c r="H856" s="2" t="inlineStr">
        <is>
          <t>금융상품자문업자</t>
        </is>
      </c>
      <c r="I856" s="2" t="inlineStr"/>
      <c r="J856" s="2" t="inlineStr">
        <is>
          <t>국가법령정보센터 Open API (www.law.go.kr) — 금융소비자 보호에 관한 법률 (시행 20260102)</t>
        </is>
      </c>
      <c r="K856" s="2" t="inlineStr">
        <is>
          <t>제2조</t>
        </is>
      </c>
      <c r="L856" s="2" t="inlineStr">
        <is>
          <t>제2조(정의) 이 법에서 사용하는 용어의 뜻은 다음과 같다. 
1. "금융상품"이란 다음 각 목의 어느 하나에 해당하는 것을 말한다.
가. 「은행법」에 따른 예금 및 대출
나. 「자본시장과 금융투자업에 관한 법률」에 따른 금융투자상품
다. 「보험업법」에 따른 보험상품
라. 「상호저축은행법」에 따른 예금 및 대출
마. 「여신전문금융업법」에 따른 신용카드, 시</t>
        </is>
      </c>
    </row>
    <row r="857">
      <c r="A857" s="2" t="inlineStr">
        <is>
          <t>REG-0856</t>
        </is>
      </c>
      <c r="B857" s="2" t="inlineStr">
        <is>
          <t>규정형</t>
        </is>
      </c>
      <c r="C857" s="2" t="inlineStr">
        <is>
          <t>외환</t>
        </is>
      </c>
      <c r="D857" s="2" t="inlineStr">
        <is>
          <t>외국환거래법</t>
        </is>
      </c>
      <c r="E857" s="2" t="inlineStr">
        <is>
          <t>definition_term</t>
        </is>
      </c>
      <c r="F857" s="2" t="inlineStr">
        <is>
          <t>「외국환거래법」 제3조(정의)에서 “외국통화, 외국통화로 표시된 지급수단, 그 밖에 표시통화에 관계없이 외국에서 사용할 수 있는 지급수단”(으)로 정의되는 용어는 무엇인가?</t>
        </is>
      </c>
      <c r="G857" s="2" t="inlineStr">
        <is>
          <t>span</t>
        </is>
      </c>
      <c r="H857" s="2" t="inlineStr">
        <is>
          <t>대외지급수단</t>
        </is>
      </c>
      <c r="I857" s="2" t="inlineStr"/>
      <c r="J857" s="2" t="inlineStr">
        <is>
          <t>국가법령정보센터 Open API (www.law.go.kr) — 외국환거래법 (시행 20260102)</t>
        </is>
      </c>
      <c r="K857" s="2" t="inlineStr">
        <is>
          <t>제3조</t>
        </is>
      </c>
      <c r="L857" s="2" t="inlineStr">
        <is>
          <t>제3조(정의)
① 이 법에서 사용하는 용어의 뜻은 다음과 같다. 
1. "내국통화"란 대한민국의 법정통화인 원화(貨)를 말한다.
2. "외국통화"란 내국통화 외의 통화를 말한다.
3. "지급수단"이란 다음 각 목의 어느 하나에 해당하는 것을 말한다.
가. 정부지폐ㆍ은행권ㆍ주화ㆍ수표ㆍ우편환ㆍ신용장
나. 대통령령으로 정하는 환어음, 약속어음, 그 밖의 지급지시</t>
        </is>
      </c>
    </row>
    <row r="858">
      <c r="A858" s="2" t="inlineStr">
        <is>
          <t>REG-0857</t>
        </is>
      </c>
      <c r="B858" s="2" t="inlineStr">
        <is>
          <t>규정형</t>
        </is>
      </c>
      <c r="C858" s="2" t="inlineStr">
        <is>
          <t>외환</t>
        </is>
      </c>
      <c r="D858" s="2" t="inlineStr">
        <is>
          <t>외국환거래법</t>
        </is>
      </c>
      <c r="E858" s="2" t="inlineStr">
        <is>
          <t>definition_term</t>
        </is>
      </c>
      <c r="F858" s="2" t="inlineStr">
        <is>
          <t>「외국환거래법」 제3조(정의)에서 “금, 금합금의 지금(地金), 유통되지 아니하는 금화, 그 밖에 금을 주재료로 하는 제품 및 가공품”(으)로 정의되는 용어는 무엇인가?</t>
        </is>
      </c>
      <c r="G858" s="2" t="inlineStr">
        <is>
          <t>span</t>
        </is>
      </c>
      <c r="H858" s="2" t="inlineStr">
        <is>
          <t>귀금속</t>
        </is>
      </c>
      <c r="I858" s="2" t="inlineStr"/>
      <c r="J858" s="2" t="inlineStr">
        <is>
          <t>국가법령정보센터 Open API (www.law.go.kr) — 외국환거래법 (시행 20260102)</t>
        </is>
      </c>
      <c r="K858" s="2" t="inlineStr">
        <is>
          <t>제3조</t>
        </is>
      </c>
      <c r="L858" s="2" t="inlineStr">
        <is>
          <t>제3조(정의)
① 이 법에서 사용하는 용어의 뜻은 다음과 같다. 
1. "내국통화"란 대한민국의 법정통화인 원화(貨)를 말한다.
2. "외국통화"란 내국통화 외의 통화를 말한다.
3. "지급수단"이란 다음 각 목의 어느 하나에 해당하는 것을 말한다.
가. 정부지폐ㆍ은행권ㆍ주화ㆍ수표ㆍ우편환ㆍ신용장
나. 대통령령으로 정하는 환어음, 약속어음, 그 밖의 지급지시</t>
        </is>
      </c>
    </row>
    <row r="859">
      <c r="A859" s="2" t="inlineStr">
        <is>
          <t>REG-0858</t>
        </is>
      </c>
      <c r="B859" s="2" t="inlineStr">
        <is>
          <t>규정형</t>
        </is>
      </c>
      <c r="C859" s="2" t="inlineStr">
        <is>
          <t>외환</t>
        </is>
      </c>
      <c r="D859" s="2" t="inlineStr">
        <is>
          <t>외국환거래법</t>
        </is>
      </c>
      <c r="E859" s="2" t="inlineStr">
        <is>
          <t>definition_term</t>
        </is>
      </c>
      <c r="F859" s="2" t="inlineStr">
        <is>
          <t>다음은 「외국환거래법」 제3조의 정의 조문이다: “외국통화로 표시된 증권 또는 외국에서 지급받을 수 있는 증권” — 이 정의가 가리키는 용어는?</t>
        </is>
      </c>
      <c r="G859" s="2" t="inlineStr">
        <is>
          <t>span</t>
        </is>
      </c>
      <c r="H859" s="2" t="inlineStr">
        <is>
          <t>외화증권</t>
        </is>
      </c>
      <c r="I859" s="2" t="inlineStr"/>
      <c r="J859" s="2" t="inlineStr">
        <is>
          <t>국가법령정보센터 Open API (www.law.go.kr) — 외국환거래법 (시행 20260102)</t>
        </is>
      </c>
      <c r="K859" s="2" t="inlineStr">
        <is>
          <t>제3조</t>
        </is>
      </c>
      <c r="L859" s="2" t="inlineStr">
        <is>
          <t>제3조(정의)
① 이 법에서 사용하는 용어의 뜻은 다음과 같다. 
1. "내국통화"란 대한민국의 법정통화인 원화(貨)를 말한다.
2. "외국통화"란 내국통화 외의 통화를 말한다.
3. "지급수단"이란 다음 각 목의 어느 하나에 해당하는 것을 말한다.
가. 정부지폐ㆍ은행권ㆍ주화ㆍ수표ㆍ우편환ㆍ신용장
나. 대통령령으로 정하는 환어음, 약속어음, 그 밖의 지급지시</t>
        </is>
      </c>
    </row>
    <row r="860">
      <c r="A860" s="2" t="inlineStr">
        <is>
          <t>REG-0859</t>
        </is>
      </c>
      <c r="B860" s="2" t="inlineStr">
        <is>
          <t>규정형</t>
        </is>
      </c>
      <c r="C860" s="2" t="inlineStr">
        <is>
          <t>외환</t>
        </is>
      </c>
      <c r="D860" s="2" t="inlineStr">
        <is>
          <t>외국환거래법</t>
        </is>
      </c>
      <c r="E860" s="2" t="inlineStr">
        <is>
          <t>definition_term</t>
        </is>
      </c>
      <c r="F860" s="2" t="inlineStr">
        <is>
          <t>「외국환거래법」 제3조에서 “외국통화로 표시된 파생상품 또는 외국에서 지급받을 수 있는 파생상품”(이)라고 정의된 용어는 무엇인가?</t>
        </is>
      </c>
      <c r="G860" s="2" t="inlineStr">
        <is>
          <t>span</t>
        </is>
      </c>
      <c r="H860" s="2" t="inlineStr">
        <is>
          <t>외화파생상품</t>
        </is>
      </c>
      <c r="I860" s="2" t="inlineStr"/>
      <c r="J860" s="2" t="inlineStr">
        <is>
          <t>국가법령정보센터 Open API (www.law.go.kr) — 외국환거래법 (시행 20260102)</t>
        </is>
      </c>
      <c r="K860" s="2" t="inlineStr">
        <is>
          <t>제3조</t>
        </is>
      </c>
      <c r="L860" s="2" t="inlineStr">
        <is>
          <t>제3조(정의)
① 이 법에서 사용하는 용어의 뜻은 다음과 같다. 
1. "내국통화"란 대한민국의 법정통화인 원화(貨)를 말한다.
2. "외국통화"란 내국통화 외의 통화를 말한다.
3. "지급수단"이란 다음 각 목의 어느 하나에 해당하는 것을 말한다.
가. 정부지폐ㆍ은행권ㆍ주화ㆍ수표ㆍ우편환ㆍ신용장
나. 대통령령으로 정하는 환어음, 약속어음, 그 밖의 지급지시</t>
        </is>
      </c>
    </row>
    <row r="861">
      <c r="A861" s="2" t="inlineStr">
        <is>
          <t>REG-0860</t>
        </is>
      </c>
      <c r="B861" s="2" t="inlineStr">
        <is>
          <t>규정형</t>
        </is>
      </c>
      <c r="C861" s="2" t="inlineStr">
        <is>
          <t>외환</t>
        </is>
      </c>
      <c r="D861" s="2" t="inlineStr">
        <is>
          <t>외국환거래법</t>
        </is>
      </c>
      <c r="E861" s="2" t="inlineStr">
        <is>
          <t>definition_term</t>
        </is>
      </c>
      <c r="F861" s="2" t="inlineStr">
        <is>
          <t>다음은 「외국환거래법」 제3조의 정의 조문이다: “모든 종류의 예금ㆍ신탁ㆍ보증ㆍ대차(貸借) 등으로 생기는 금전 등의 지급을 청구할 수 있는 권리로서 제1호부터 제10호까지의 규정에 해당되지 아니하는 것” — 이 정의가 가리키는 용어는?</t>
        </is>
      </c>
      <c r="G861" s="2" t="inlineStr">
        <is>
          <t>span</t>
        </is>
      </c>
      <c r="H861" s="2" t="inlineStr">
        <is>
          <t>채권</t>
        </is>
      </c>
      <c r="I861" s="2" t="inlineStr"/>
      <c r="J861" s="2" t="inlineStr">
        <is>
          <t>국가법령정보센터 Open API (www.law.go.kr) — 외국환거래법 (시행 20260102)</t>
        </is>
      </c>
      <c r="K861" s="2" t="inlineStr">
        <is>
          <t>제3조</t>
        </is>
      </c>
      <c r="L861" s="2" t="inlineStr">
        <is>
          <t>제3조(정의)
① 이 법에서 사용하는 용어의 뜻은 다음과 같다. 
1. "내국통화"란 대한민국의 법정통화인 원화(貨)를 말한다.
2. "외국통화"란 내국통화 외의 통화를 말한다.
3. "지급수단"이란 다음 각 목의 어느 하나에 해당하는 것을 말한다.
가. 정부지폐ㆍ은행권ㆍ주화ㆍ수표ㆍ우편환ㆍ신용장
나. 대통령령으로 정하는 환어음, 약속어음, 그 밖의 지급지시</t>
        </is>
      </c>
    </row>
    <row r="862">
      <c r="A862" s="2" t="inlineStr">
        <is>
          <t>REG-0861</t>
        </is>
      </c>
      <c r="B862" s="2" t="inlineStr">
        <is>
          <t>규정형</t>
        </is>
      </c>
      <c r="C862" s="2" t="inlineStr">
        <is>
          <t>외환</t>
        </is>
      </c>
      <c r="D862" s="2" t="inlineStr">
        <is>
          <t>외국환거래법</t>
        </is>
      </c>
      <c r="E862" s="2" t="inlineStr">
        <is>
          <t>definition_term</t>
        </is>
      </c>
      <c r="F862" s="2" t="inlineStr">
        <is>
          <t>「외국환거래법」 제3조에서 “외국통화로 표시된 채권 또는 외국에서 지급받을 수 있는 채권”(이)라고 정의된 용어는 무엇인가?</t>
        </is>
      </c>
      <c r="G862" s="2" t="inlineStr">
        <is>
          <t>span</t>
        </is>
      </c>
      <c r="H862" s="2" t="inlineStr">
        <is>
          <t>외화채권</t>
        </is>
      </c>
      <c r="I862" s="2" t="inlineStr"/>
      <c r="J862" s="2" t="inlineStr">
        <is>
          <t>국가법령정보센터 Open API (www.law.go.kr) — 외국환거래법 (시행 20260102)</t>
        </is>
      </c>
      <c r="K862" s="2" t="inlineStr">
        <is>
          <t>제3조</t>
        </is>
      </c>
      <c r="L862" s="2" t="inlineStr">
        <is>
          <t>제3조(정의)
① 이 법에서 사용하는 용어의 뜻은 다음과 같다. 
1. "내국통화"란 대한민국의 법정통화인 원화(貨)를 말한다.
2. "외국통화"란 내국통화 외의 통화를 말한다.
3. "지급수단"이란 다음 각 목의 어느 하나에 해당하는 것을 말한다.
가. 정부지폐ㆍ은행권ㆍ주화ㆍ수표ㆍ우편환ㆍ신용장
나. 대통령령으로 정하는 환어음, 약속어음, 그 밖의 지급지시</t>
        </is>
      </c>
    </row>
    <row r="863">
      <c r="A863" s="2" t="inlineStr">
        <is>
          <t>REG-0862</t>
        </is>
      </c>
      <c r="B863" s="2" t="inlineStr">
        <is>
          <t>규정형</t>
        </is>
      </c>
      <c r="C863" s="2" t="inlineStr">
        <is>
          <t>외환</t>
        </is>
      </c>
      <c r="D863" s="2" t="inlineStr">
        <is>
          <t>외국환거래법</t>
        </is>
      </c>
      <c r="E863" s="2" t="inlineStr">
        <is>
          <t>definition_term</t>
        </is>
      </c>
      <c r="F863" s="2" t="inlineStr">
        <is>
          <t>다음은 「외국환거래법」 제3조의 정의 조문이다: “대한민국에 주소 또는 거소를 둔 개인과 대한민국에 주된 사무소를 둔 법인” — 이 정의가 가리키는 용어는?</t>
        </is>
      </c>
      <c r="G863" s="2" t="inlineStr">
        <is>
          <t>span</t>
        </is>
      </c>
      <c r="H863" s="2" t="inlineStr">
        <is>
          <t>거주자</t>
        </is>
      </c>
      <c r="I863" s="2" t="inlineStr"/>
      <c r="J863" s="2" t="inlineStr">
        <is>
          <t>국가법령정보센터 Open API (www.law.go.kr) — 외국환거래법 (시행 20260102)</t>
        </is>
      </c>
      <c r="K863" s="2" t="inlineStr">
        <is>
          <t>제3조</t>
        </is>
      </c>
      <c r="L863" s="2" t="inlineStr">
        <is>
          <t>제3조(정의)
① 이 법에서 사용하는 용어의 뜻은 다음과 같다. 
1. "내국통화"란 대한민국의 법정통화인 원화(貨)를 말한다.
2. "외국통화"란 내국통화 외의 통화를 말한다.
3. "지급수단"이란 다음 각 목의 어느 하나에 해당하는 것을 말한다.
가. 정부지폐ㆍ은행권ㆍ주화ㆍ수표ㆍ우편환ㆍ신용장
나. 대통령령으로 정하는 환어음, 약속어음, 그 밖의 지급지시</t>
        </is>
      </c>
    </row>
    <row r="864">
      <c r="A864" s="2" t="inlineStr">
        <is>
          <t>REG-0863</t>
        </is>
      </c>
      <c r="B864" s="2" t="inlineStr">
        <is>
          <t>규정형</t>
        </is>
      </c>
      <c r="C864" s="2" t="inlineStr">
        <is>
          <t>외환</t>
        </is>
      </c>
      <c r="D864" s="2" t="inlineStr">
        <is>
          <t>외국환거래법</t>
        </is>
      </c>
      <c r="E864" s="2" t="inlineStr">
        <is>
          <t>definition_term</t>
        </is>
      </c>
      <c r="F864" s="2" t="inlineStr">
        <is>
          <t>「외국환거래법」 제3조(정의)에서 “「금융위원회의 설치 등에 관한 법률」 제38조(제9호 및 제10호는 제외한다)에 따른 기관과 그 밖에 금융업 및 금융 관련 업무를 하는 자로서 대통령령으로 정하는 자”(으)로 정의되는 용어는 무엇인가?</t>
        </is>
      </c>
      <c r="G864" s="2" t="inlineStr">
        <is>
          <t>span</t>
        </is>
      </c>
      <c r="H864" s="2" t="inlineStr">
        <is>
          <t>금융회사등</t>
        </is>
      </c>
      <c r="I864" s="2" t="inlineStr"/>
      <c r="J864" s="2" t="inlineStr">
        <is>
          <t>국가법령정보센터 Open API (www.law.go.kr) — 외국환거래법 (시행 20260102)</t>
        </is>
      </c>
      <c r="K864" s="2" t="inlineStr">
        <is>
          <t>제3조</t>
        </is>
      </c>
      <c r="L864" s="2" t="inlineStr">
        <is>
          <t>제3조(정의)
① 이 법에서 사용하는 용어의 뜻은 다음과 같다. 
1. "내국통화"란 대한민국의 법정통화인 원화(貨)를 말한다.
2. "외국통화"란 내국통화 외의 통화를 말한다.
3. "지급수단"이란 다음 각 목의 어느 하나에 해당하는 것을 말한다.
가. 정부지폐ㆍ은행권ㆍ주화ㆍ수표ㆍ우편환ㆍ신용장
나. 대통령령으로 정하는 환어음, 약속어음, 그 밖의 지급지시</t>
        </is>
      </c>
    </row>
    <row r="865">
      <c r="A865" s="2" t="inlineStr">
        <is>
          <t>REG-0864</t>
        </is>
      </c>
      <c r="B865" s="2" t="inlineStr">
        <is>
          <t>규정형</t>
        </is>
      </c>
      <c r="C865" s="2" t="inlineStr">
        <is>
          <t>외환</t>
        </is>
      </c>
      <c r="D865" s="2" t="inlineStr">
        <is>
          <t>외국환거래법</t>
        </is>
      </c>
      <c r="E865" s="2" t="inlineStr">
        <is>
          <t>definition_term</t>
        </is>
      </c>
      <c r="F865" s="2" t="inlineStr">
        <is>
          <t>「외국환거래법」 제3조에서 “금융회사등의 외국통화표시 부채(외화예수금은 제외한다) 및 이와 유사한 것으로서 대통령령으로 정하는 것”(이)라고 정의된 용어는 무엇인가?</t>
        </is>
      </c>
      <c r="G865" s="2" t="inlineStr">
        <is>
          <t>span</t>
        </is>
      </c>
      <c r="H865" s="2" t="inlineStr">
        <is>
          <t>비예금성외화부채등</t>
        </is>
      </c>
      <c r="I865" s="2" t="inlineStr"/>
      <c r="J865" s="2" t="inlineStr">
        <is>
          <t>국가법령정보센터 Open API (www.law.go.kr) — 외국환거래법 (시행 20260102)</t>
        </is>
      </c>
      <c r="K865" s="2" t="inlineStr">
        <is>
          <t>제3조</t>
        </is>
      </c>
      <c r="L865" s="2" t="inlineStr">
        <is>
          <t>제3조(정의)
① 이 법에서 사용하는 용어의 뜻은 다음과 같다. 
1. "내국통화"란 대한민국의 법정통화인 원화(貨)를 말한다.
2. "외국통화"란 내국통화 외의 통화를 말한다.
3. "지급수단"이란 다음 각 목의 어느 하나에 해당하는 것을 말한다.
가. 정부지폐ㆍ은행권ㆍ주화ㆍ수표ㆍ우편환ㆍ신용장
나. 대통령령으로 정하는 환어음, 약속어음, 그 밖의 지급지시</t>
        </is>
      </c>
    </row>
    <row r="866">
      <c r="A866" s="2" t="inlineStr">
        <is>
          <t>REG-0865</t>
        </is>
      </c>
      <c r="B866" s="2" t="inlineStr">
        <is>
          <t>규정형</t>
        </is>
      </c>
      <c r="C866" s="2" t="inlineStr">
        <is>
          <t>퇴직연금</t>
        </is>
      </c>
      <c r="D866" s="2" t="inlineStr">
        <is>
          <t>근로자퇴직급여 보장법</t>
        </is>
      </c>
      <c r="E866" s="2" t="inlineStr">
        <is>
          <t>definition_term</t>
        </is>
      </c>
      <c r="F866" s="2" t="inlineStr">
        <is>
          <t>다음은 「근로자퇴직급여 보장법」 제2조의 정의 조문이다: “확정급여형퇴직연금제도, 확정기여형퇴직연금제도, 중소기업퇴직연금기금제도 및 제8조에 따른 퇴직금제도” — 이 정의가 가리키는 용어는?</t>
        </is>
      </c>
      <c r="G866" s="2" t="inlineStr">
        <is>
          <t>span</t>
        </is>
      </c>
      <c r="H866" s="2" t="inlineStr">
        <is>
          <t>퇴직급여제도</t>
        </is>
      </c>
      <c r="I866" s="2" t="inlineStr"/>
      <c r="J866" s="2" t="inlineStr">
        <is>
          <t>국가법령정보센터 Open API (www.law.go.kr) — 근로자퇴직급여 보장법 (시행 20260701)</t>
        </is>
      </c>
      <c r="K866" s="2" t="inlineStr">
        <is>
          <t>제2조</t>
        </is>
      </c>
      <c r="L866" s="2" t="inlineStr">
        <is>
          <t xml:space="preserve">제2조(정의) 이 법에서 사용하는 용어의 뜻은 다음과 같다. 
1. "근로자"란 「근로기준법」 제2조제1항제1호에 따른 근로자를 말한다.
2. "사용자"란 「근로기준법」 제2조제1항제2호에 따른 사용자를 말한다.
3. "임금"이란 「근로기준법」 제2조제1항제5호에 따른 임금을 말한다.
4. "평균임금"이란 「근로기준법」 제2조제1항제6호에 따른 평균임금을 </t>
        </is>
      </c>
    </row>
    <row r="867">
      <c r="A867" s="2" t="inlineStr">
        <is>
          <t>REG-0866</t>
        </is>
      </c>
      <c r="B867" s="2" t="inlineStr">
        <is>
          <t>규정형</t>
        </is>
      </c>
      <c r="C867" s="2" t="inlineStr">
        <is>
          <t>퇴직연금</t>
        </is>
      </c>
      <c r="D867" s="2" t="inlineStr">
        <is>
          <t>근로자퇴직급여 보장법</t>
        </is>
      </c>
      <c r="E867" s="2" t="inlineStr">
        <is>
          <t>definition_term</t>
        </is>
      </c>
      <c r="F867" s="2" t="inlineStr">
        <is>
          <t>다음은 「근로자퇴직급여 보장법」 제2조의 정의 조문이다: “근로자가 받을 급여의 수준이 사전에 결정되어 있는 퇴직연금제도” — 이 정의가 가리키는 용어는?</t>
        </is>
      </c>
      <c r="G867" s="2" t="inlineStr">
        <is>
          <t>span</t>
        </is>
      </c>
      <c r="H867" s="2" t="inlineStr">
        <is>
          <t>확정급여형퇴직연금제도</t>
        </is>
      </c>
      <c r="I867" s="2" t="inlineStr"/>
      <c r="J867" s="2" t="inlineStr">
        <is>
          <t>국가법령정보센터 Open API (www.law.go.kr) — 근로자퇴직급여 보장법 (시행 20260701)</t>
        </is>
      </c>
      <c r="K867" s="2" t="inlineStr">
        <is>
          <t>제2조</t>
        </is>
      </c>
      <c r="L867" s="2" t="inlineStr">
        <is>
          <t xml:space="preserve">제2조(정의) 이 법에서 사용하는 용어의 뜻은 다음과 같다. 
1. "근로자"란 「근로기준법」 제2조제1항제1호에 따른 근로자를 말한다.
2. "사용자"란 「근로기준법」 제2조제1항제2호에 따른 사용자를 말한다.
3. "임금"이란 「근로기준법」 제2조제1항제5호에 따른 임금을 말한다.
4. "평균임금"이란 「근로기준법」 제2조제1항제6호에 따른 평균임금을 </t>
        </is>
      </c>
    </row>
    <row r="868">
      <c r="A868" s="2" t="inlineStr">
        <is>
          <t>REG-0867</t>
        </is>
      </c>
      <c r="B868" s="2" t="inlineStr">
        <is>
          <t>규정형</t>
        </is>
      </c>
      <c r="C868" s="2" t="inlineStr">
        <is>
          <t>퇴직연금</t>
        </is>
      </c>
      <c r="D868" s="2" t="inlineStr">
        <is>
          <t>근로자퇴직급여 보장법</t>
        </is>
      </c>
      <c r="E868" s="2" t="inlineStr">
        <is>
          <t>definition_term</t>
        </is>
      </c>
      <c r="F868" s="2" t="inlineStr">
        <is>
          <t>「근로자퇴직급여 보장법」 제2조에서 “급여의 지급을 위하여 사용자가 부담하여야 할 부담금의 수준이 사전에 결정되어 있는 퇴직연금제도”(이)라고 정의된 용어는 무엇인가?</t>
        </is>
      </c>
      <c r="G868" s="2" t="inlineStr">
        <is>
          <t>span</t>
        </is>
      </c>
      <c r="H868" s="2" t="inlineStr">
        <is>
          <t>확정기여형퇴직연금제도</t>
        </is>
      </c>
      <c r="I868" s="2" t="inlineStr"/>
      <c r="J868" s="2" t="inlineStr">
        <is>
          <t>국가법령정보센터 Open API (www.law.go.kr) — 근로자퇴직급여 보장법 (시행 20260701)</t>
        </is>
      </c>
      <c r="K868" s="2" t="inlineStr">
        <is>
          <t>제2조</t>
        </is>
      </c>
      <c r="L868" s="2" t="inlineStr">
        <is>
          <t xml:space="preserve">제2조(정의) 이 법에서 사용하는 용어의 뜻은 다음과 같다. 
1. "근로자"란 「근로기준법」 제2조제1항제1호에 따른 근로자를 말한다.
2. "사용자"란 「근로기준법」 제2조제1항제2호에 따른 사용자를 말한다.
3. "임금"이란 「근로기준법」 제2조제1항제5호에 따른 임금을 말한다.
4. "평균임금"이란 「근로기준법」 제2조제1항제6호에 따른 평균임금을 </t>
        </is>
      </c>
    </row>
    <row r="869">
      <c r="A869" s="2" t="inlineStr">
        <is>
          <t>REG-0868</t>
        </is>
      </c>
      <c r="B869" s="2" t="inlineStr">
        <is>
          <t>규정형</t>
        </is>
      </c>
      <c r="C869" s="2" t="inlineStr">
        <is>
          <t>퇴직연금</t>
        </is>
      </c>
      <c r="D869" s="2" t="inlineStr">
        <is>
          <t>근로자퇴직급여 보장법</t>
        </is>
      </c>
      <c r="E869" s="2" t="inlineStr">
        <is>
          <t>definition_term</t>
        </is>
      </c>
      <c r="F869" s="2" t="inlineStr">
        <is>
          <t>다음은 「근로자퇴직급여 보장법」 제2조의 정의 조문이다: “가입자의 선택에 따라 가입자가 납입한 일시금이나 사용자 또는 가입자가 납입한 부담금을 적립ㆍ운용하기 위하여 설정한 퇴직연금제도로서 급여의 수준이나 부담금의 수준이 확정되지 아니한 퇴직연금제도” — 이 정의가 가리키는 용어는?</t>
        </is>
      </c>
      <c r="G869" s="2" t="inlineStr">
        <is>
          <t>span</t>
        </is>
      </c>
      <c r="H869" s="2" t="inlineStr">
        <is>
          <t>개인형퇴직연금제도</t>
        </is>
      </c>
      <c r="I869" s="2" t="inlineStr"/>
      <c r="J869" s="2" t="inlineStr">
        <is>
          <t>국가법령정보센터 Open API (www.law.go.kr) — 근로자퇴직급여 보장법 (시행 20260701)</t>
        </is>
      </c>
      <c r="K869" s="2" t="inlineStr">
        <is>
          <t>제2조</t>
        </is>
      </c>
      <c r="L869" s="2" t="inlineStr">
        <is>
          <t xml:space="preserve">제2조(정의) 이 법에서 사용하는 용어의 뜻은 다음과 같다. 
1. "근로자"란 「근로기준법」 제2조제1항제1호에 따른 근로자를 말한다.
2. "사용자"란 「근로기준법」 제2조제1항제2호에 따른 사용자를 말한다.
3. "임금"이란 「근로기준법」 제2조제1항제5호에 따른 임금을 말한다.
4. "평균임금"이란 「근로기준법」 제2조제1항제6호에 따른 평균임금을 </t>
        </is>
      </c>
    </row>
    <row r="870">
      <c r="A870" s="2" t="inlineStr">
        <is>
          <t>REG-0869</t>
        </is>
      </c>
      <c r="B870" s="2" t="inlineStr">
        <is>
          <t>규정형</t>
        </is>
      </c>
      <c r="C870" s="2" t="inlineStr">
        <is>
          <t>퇴직연금</t>
        </is>
      </c>
      <c r="D870" s="2" t="inlineStr">
        <is>
          <t>근로자퇴직급여 보장법</t>
        </is>
      </c>
      <c r="E870" s="2" t="inlineStr">
        <is>
          <t>definition_term</t>
        </is>
      </c>
      <c r="F870" s="2" t="inlineStr">
        <is>
          <t>「근로자퇴직급여 보장법」 제2조(정의)에서 “퇴직연금제도 또는 중소기업퇴직연금기금제도에 가입한 사람”(으)로 정의되는 용어는 무엇인가?</t>
        </is>
      </c>
      <c r="G870" s="2" t="inlineStr">
        <is>
          <t>span</t>
        </is>
      </c>
      <c r="H870" s="2" t="inlineStr">
        <is>
          <t>가입자</t>
        </is>
      </c>
      <c r="I870" s="2" t="inlineStr"/>
      <c r="J870" s="2" t="inlineStr">
        <is>
          <t>국가법령정보센터 Open API (www.law.go.kr) — 근로자퇴직급여 보장법 (시행 20260701)</t>
        </is>
      </c>
      <c r="K870" s="2" t="inlineStr">
        <is>
          <t>제2조</t>
        </is>
      </c>
      <c r="L870" s="2" t="inlineStr">
        <is>
          <t xml:space="preserve">제2조(정의) 이 법에서 사용하는 용어의 뜻은 다음과 같다. 
1. "근로자"란 「근로기준법」 제2조제1항제1호에 따른 근로자를 말한다.
2. "사용자"란 「근로기준법」 제2조제1항제2호에 따른 사용자를 말한다.
3. "임금"이란 「근로기준법」 제2조제1항제5호에 따른 임금을 말한다.
4. "평균임금"이란 「근로기준법」 제2조제1항제6호에 따른 평균임금을 </t>
        </is>
      </c>
    </row>
    <row r="871">
      <c r="A871" s="2" t="inlineStr">
        <is>
          <t>REG-0870</t>
        </is>
      </c>
      <c r="B871" s="2" t="inlineStr">
        <is>
          <t>규정형</t>
        </is>
      </c>
      <c r="C871" s="2" t="inlineStr">
        <is>
          <t>퇴직연금</t>
        </is>
      </c>
      <c r="D871" s="2" t="inlineStr">
        <is>
          <t>근로자퇴직급여 보장법</t>
        </is>
      </c>
      <c r="E871" s="2" t="inlineStr">
        <is>
          <t>definition_term</t>
        </is>
      </c>
      <c r="F871" s="2" t="inlineStr">
        <is>
          <t>「근로자퇴직급여 보장법」 제2조(정의)에서 “가입자의 퇴직 등 지급사유가 발생할 때에 급여를 지급하기 위하여 사용자 또는 가입자가 납입한 부담금으로 적립된 자금”(으)로 정의되는 용어는 무엇인가?</t>
        </is>
      </c>
      <c r="G871" s="2" t="inlineStr">
        <is>
          <t>span</t>
        </is>
      </c>
      <c r="H871" s="2" t="inlineStr">
        <is>
          <t>적립금</t>
        </is>
      </c>
      <c r="I871" s="2" t="inlineStr"/>
      <c r="J871" s="2" t="inlineStr">
        <is>
          <t>국가법령정보센터 Open API (www.law.go.kr) — 근로자퇴직급여 보장법 (시행 20260701)</t>
        </is>
      </c>
      <c r="K871" s="2" t="inlineStr">
        <is>
          <t>제2조</t>
        </is>
      </c>
      <c r="L871" s="2" t="inlineStr">
        <is>
          <t xml:space="preserve">제2조(정의) 이 법에서 사용하는 용어의 뜻은 다음과 같다. 
1. "근로자"란 「근로기준법」 제2조제1항제1호에 따른 근로자를 말한다.
2. "사용자"란 「근로기준법」 제2조제1항제2호에 따른 사용자를 말한다.
3. "임금"이란 「근로기준법」 제2조제1항제5호에 따른 임금을 말한다.
4. "평균임금"이란 「근로기준법」 제2조제1항제6호에 따른 평균임금을 </t>
        </is>
      </c>
    </row>
    <row r="872">
      <c r="A872" s="2" t="inlineStr">
        <is>
          <t>REG-0871</t>
        </is>
      </c>
      <c r="B872" s="2" t="inlineStr">
        <is>
          <t>규정형</t>
        </is>
      </c>
      <c r="C872" s="2" t="inlineStr">
        <is>
          <t>퇴직연금</t>
        </is>
      </c>
      <c r="D872" s="2" t="inlineStr">
        <is>
          <t>근로자퇴직급여 보장법</t>
        </is>
      </c>
      <c r="E872" s="2" t="inlineStr">
        <is>
          <t>definition_term</t>
        </is>
      </c>
      <c r="F872" s="2" t="inlineStr">
        <is>
          <t>다음은 「근로자퇴직급여 보장법」 제2조의 정의 조문이다: “퇴직연금제도의 운용관리업무 및 자산관리업무를 수행하기 위하여 제26조에 따라 등록한 자” — 이 정의가 가리키는 용어는?</t>
        </is>
      </c>
      <c r="G872" s="2" t="inlineStr">
        <is>
          <t>span</t>
        </is>
      </c>
      <c r="H872" s="2" t="inlineStr">
        <is>
          <t>퇴직연금사업자</t>
        </is>
      </c>
      <c r="I872" s="2" t="inlineStr"/>
      <c r="J872" s="2" t="inlineStr">
        <is>
          <t>국가법령정보센터 Open API (www.law.go.kr) — 근로자퇴직급여 보장법 (시행 20260701)</t>
        </is>
      </c>
      <c r="K872" s="2" t="inlineStr">
        <is>
          <t>제2조</t>
        </is>
      </c>
      <c r="L872" s="2" t="inlineStr">
        <is>
          <t xml:space="preserve">제2조(정의) 이 법에서 사용하는 용어의 뜻은 다음과 같다. 
1. "근로자"란 「근로기준법」 제2조제1항제1호에 따른 근로자를 말한다.
2. "사용자"란 「근로기준법」 제2조제1항제2호에 따른 사용자를 말한다.
3. "임금"이란 「근로기준법」 제2조제1항제5호에 따른 임금을 말한다.
4. "평균임금"이란 「근로기준법」 제2조제1항제6호에 따른 평균임금을 </t>
        </is>
      </c>
    </row>
    <row r="873">
      <c r="A873" s="2" t="inlineStr">
        <is>
          <t>REG-0872</t>
        </is>
      </c>
      <c r="B873" s="2" t="inlineStr">
        <is>
          <t>규정형</t>
        </is>
      </c>
      <c r="C873" s="2" t="inlineStr">
        <is>
          <t>퇴직연금</t>
        </is>
      </c>
      <c r="D873" s="2" t="inlineStr">
        <is>
          <t>근로자퇴직급여 보장법</t>
        </is>
      </c>
      <c r="E873" s="2" t="inlineStr">
        <is>
          <t>definition_term</t>
        </is>
      </c>
      <c r="F873" s="2" t="inlineStr">
        <is>
          <t>다음은 「근로자퇴직급여 보장법」 제2조의 정의 조문이다: “중소기업(상시 100명 미만의 근로자를 사용하는 사업에 한정한다. 이하 같다) 근로자의 안정적인 노후생활 보장을 지원하기 위하여 둘 이상의 중소기업 사용자 및 근로자가 납입한 부담금 등으로 공동의 기금을 조성ㆍ운영하여 근로자에게 급여를 지급하는 제도” — 이 정의가 가리키는 용어는?</t>
        </is>
      </c>
      <c r="G873" s="2" t="inlineStr">
        <is>
          <t>span</t>
        </is>
      </c>
      <c r="H873" s="2" t="inlineStr">
        <is>
          <t>중소기업퇴직연금기금제도</t>
        </is>
      </c>
      <c r="I873" s="2" t="inlineStr"/>
      <c r="J873" s="2" t="inlineStr">
        <is>
          <t>국가법령정보센터 Open API (www.law.go.kr) — 근로자퇴직급여 보장법 (시행 20260701)</t>
        </is>
      </c>
      <c r="K873" s="2" t="inlineStr">
        <is>
          <t>제2조</t>
        </is>
      </c>
      <c r="L873" s="2" t="inlineStr">
        <is>
          <t xml:space="preserve">제2조(정의) 이 법에서 사용하는 용어의 뜻은 다음과 같다. 
1. "근로자"란 「근로기준법」 제2조제1항제1호에 따른 근로자를 말한다.
2. "사용자"란 「근로기준법」 제2조제1항제2호에 따른 사용자를 말한다.
3. "임금"이란 「근로기준법」 제2조제1항제5호에 따른 임금을 말한다.
4. "평균임금"이란 「근로기준법」 제2조제1항제6호에 따른 평균임금을 </t>
        </is>
      </c>
    </row>
    <row r="874">
      <c r="A874" s="2" t="inlineStr">
        <is>
          <t>REG-0873</t>
        </is>
      </c>
      <c r="B874" s="2" t="inlineStr">
        <is>
          <t>규정형</t>
        </is>
      </c>
      <c r="C874" s="2" t="inlineStr">
        <is>
          <t>퇴직연금</t>
        </is>
      </c>
      <c r="D874" s="2" t="inlineStr">
        <is>
          <t>근로자퇴직급여 보장법</t>
        </is>
      </c>
      <c r="E874" s="2" t="inlineStr">
        <is>
          <t>definition_term</t>
        </is>
      </c>
      <c r="F874" s="2" t="inlineStr">
        <is>
          <t>다음은 「근로자퇴직급여 보장법」 제2조의 정의 조문이다: “가입자가 적립금의 운용방법을 스스로 선정하지 아니한 경우 사전에 지정한 운용방법으로 적립금을 운용하는 제도” — 이 정의가 가리키는 용어는?</t>
        </is>
      </c>
      <c r="G874" s="2" t="inlineStr">
        <is>
          <t>span</t>
        </is>
      </c>
      <c r="H874" s="2" t="inlineStr">
        <is>
          <t>사전지정운용제도</t>
        </is>
      </c>
      <c r="I874" s="2" t="inlineStr"/>
      <c r="J874" s="2" t="inlineStr">
        <is>
          <t>국가법령정보센터 Open API (www.law.go.kr) — 근로자퇴직급여 보장법 (시행 20260701)</t>
        </is>
      </c>
      <c r="K874" s="2" t="inlineStr">
        <is>
          <t>제2조</t>
        </is>
      </c>
      <c r="L874" s="2" t="inlineStr">
        <is>
          <t xml:space="preserve">제2조(정의) 이 법에서 사용하는 용어의 뜻은 다음과 같다. 
1. "근로자"란 「근로기준법」 제2조제1항제1호에 따른 근로자를 말한다.
2. "사용자"란 「근로기준법」 제2조제1항제2호에 따른 사용자를 말한다.
3. "임금"이란 「근로기준법」 제2조제1항제5호에 따른 임금을 말한다.
4. "평균임금"이란 「근로기준법」 제2조제1항제6호에 따른 평균임금을 </t>
        </is>
      </c>
    </row>
    <row r="875">
      <c r="A875" s="2" t="inlineStr">
        <is>
          <t>REG-0874</t>
        </is>
      </c>
      <c r="B875" s="2" t="inlineStr">
        <is>
          <t>규정형</t>
        </is>
      </c>
      <c r="C875" s="2" t="inlineStr">
        <is>
          <t>퇴직연금</t>
        </is>
      </c>
      <c r="D875" s="2" t="inlineStr">
        <is>
          <t>근로자퇴직급여 보장법</t>
        </is>
      </c>
      <c r="E875" s="2" t="inlineStr">
        <is>
          <t>definition_term</t>
        </is>
      </c>
      <c r="F875" s="2" t="inlineStr">
        <is>
          <t>「근로자퇴직급여 보장법」 제2조에서 “사전지정운용제도에 따라 적립금을 운용하기 위하여 제21조의2제1항에 따라 승인을 받은 운용방법”(이)라고 정의된 용어는 무엇인가?</t>
        </is>
      </c>
      <c r="G875" s="2" t="inlineStr">
        <is>
          <t>span</t>
        </is>
      </c>
      <c r="H875" s="2" t="inlineStr">
        <is>
          <t>사전지정운용방법</t>
        </is>
      </c>
      <c r="I875" s="2" t="inlineStr"/>
      <c r="J875" s="2" t="inlineStr">
        <is>
          <t>국가법령정보센터 Open API (www.law.go.kr) — 근로자퇴직급여 보장법 (시행 20260701)</t>
        </is>
      </c>
      <c r="K875" s="2" t="inlineStr">
        <is>
          <t>제2조</t>
        </is>
      </c>
      <c r="L875" s="2" t="inlineStr">
        <is>
          <t xml:space="preserve">제2조(정의) 이 법에서 사용하는 용어의 뜻은 다음과 같다. 
1. "근로자"란 「근로기준법」 제2조제1항제1호에 따른 근로자를 말한다.
2. "사용자"란 「근로기준법」 제2조제1항제2호에 따른 사용자를 말한다.
3. "임금"이란 「근로기준법」 제2조제1항제5호에 따른 임금을 말한다.
4. "평균임금"이란 「근로기준법」 제2조제1항제6호에 따른 평균임금을 </t>
        </is>
      </c>
    </row>
    <row r="876">
      <c r="A876" s="2" t="inlineStr">
        <is>
          <t>REG-0875</t>
        </is>
      </c>
      <c r="B876" s="2" t="inlineStr">
        <is>
          <t>규정형</t>
        </is>
      </c>
      <c r="C876" s="2" t="inlineStr">
        <is>
          <t>카드</t>
        </is>
      </c>
      <c r="D876" s="2" t="inlineStr">
        <is>
          <t>여신전문금융업법</t>
        </is>
      </c>
      <c r="E876" s="2" t="inlineStr">
        <is>
          <t>definition_term</t>
        </is>
      </c>
      <c r="F876" s="2" t="inlineStr">
        <is>
          <t>「여신전문금융업법」 제2조(정의)에서 “신용카드업, 시설대여업, 할부금융업 또는 신기술사업금융업”(으)로 정의되는 용어는 무엇인가?</t>
        </is>
      </c>
      <c r="G876" s="2" t="inlineStr">
        <is>
          <t>span</t>
        </is>
      </c>
      <c r="H876" s="2" t="inlineStr">
        <is>
          <t>여신전문금융업(與信專門金融業)</t>
        </is>
      </c>
      <c r="I876" s="2" t="inlineStr"/>
      <c r="J876" s="2" t="inlineStr">
        <is>
          <t>국가법령정보센터 Open API (www.law.go.kr) — 여신전문금융업법 (시행 20251001)</t>
        </is>
      </c>
      <c r="K876" s="2" t="inlineStr">
        <is>
          <t>제2조</t>
        </is>
      </c>
      <c r="L876" s="2" t="inlineStr">
        <is>
          <t>제2조(정의) 이 법에서 사용하는 용어의 뜻은 다음과 같다.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t>
        </is>
      </c>
    </row>
    <row r="877">
      <c r="A877" s="2" t="inlineStr">
        <is>
          <t>REG-0876</t>
        </is>
      </c>
      <c r="B877" s="2" t="inlineStr">
        <is>
          <t>규정형</t>
        </is>
      </c>
      <c r="C877" s="2" t="inlineStr">
        <is>
          <t>카드</t>
        </is>
      </c>
      <c r="D877" s="2" t="inlineStr">
        <is>
          <t>여신전문금융업법</t>
        </is>
      </c>
      <c r="E877" s="2" t="inlineStr">
        <is>
          <t>definition_term</t>
        </is>
      </c>
      <c r="F877" s="2" t="inlineStr">
        <is>
          <t>「여신전문금융업법」 제2조에서 “제3조제1항에 따라 신용카드업의 허가를 받거나 등록을 한 자”(이)라고 정의된 용어는 무엇인가?</t>
        </is>
      </c>
      <c r="G877" s="2" t="inlineStr">
        <is>
          <t>span</t>
        </is>
      </c>
      <c r="H877" s="2" t="inlineStr">
        <is>
          <t>신용카드업자</t>
        </is>
      </c>
      <c r="I877" s="2" t="inlineStr"/>
      <c r="J877" s="2" t="inlineStr">
        <is>
          <t>국가법령정보센터 Open API (www.law.go.kr) — 여신전문금융업법 (시행 20251001)</t>
        </is>
      </c>
      <c r="K877" s="2" t="inlineStr">
        <is>
          <t>제2조</t>
        </is>
      </c>
      <c r="L877" s="2" t="inlineStr">
        <is>
          <t>제2조(정의) 이 법에서 사용하는 용어의 뜻은 다음과 같다.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t>
        </is>
      </c>
    </row>
    <row r="878">
      <c r="A878" s="2" t="inlineStr">
        <is>
          <t>REG-0877</t>
        </is>
      </c>
      <c r="B878" s="2" t="inlineStr">
        <is>
          <t>규정형</t>
        </is>
      </c>
      <c r="C878" s="2" t="inlineStr">
        <is>
          <t>카드</t>
        </is>
      </c>
      <c r="D878" s="2" t="inlineStr">
        <is>
          <t>여신전문금융업법</t>
        </is>
      </c>
      <c r="E878" s="2" t="inlineStr">
        <is>
          <t>definition_term</t>
        </is>
      </c>
      <c r="F878" s="2" t="inlineStr">
        <is>
          <t>다음은 「여신전문금융업법」 제2조의 정의 조문이다: “신용카드업자와의 계약에 따라 그로부터 신용카드를 발급받은 자” — 이 정의가 가리키는 용어는?</t>
        </is>
      </c>
      <c r="G878" s="2" t="inlineStr">
        <is>
          <t>span</t>
        </is>
      </c>
      <c r="H878" s="2" t="inlineStr">
        <is>
          <t>신용카드회원</t>
        </is>
      </c>
      <c r="I878" s="2" t="inlineStr"/>
      <c r="J878" s="2" t="inlineStr">
        <is>
          <t>국가법령정보센터 Open API (www.law.go.kr) — 여신전문금융업법 (시행 20251001)</t>
        </is>
      </c>
      <c r="K878" s="2" t="inlineStr">
        <is>
          <t>제2조</t>
        </is>
      </c>
      <c r="L878" s="2" t="inlineStr">
        <is>
          <t>제2조(정의) 이 법에서 사용하는 용어의 뜻은 다음과 같다.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t>
        </is>
      </c>
    </row>
    <row r="879">
      <c r="A879" s="2" t="inlineStr">
        <is>
          <t>REG-0878</t>
        </is>
      </c>
      <c r="B879" s="2" t="inlineStr">
        <is>
          <t>규정형</t>
        </is>
      </c>
      <c r="C879" s="2" t="inlineStr">
        <is>
          <t>카드</t>
        </is>
      </c>
      <c r="D879" s="2" t="inlineStr">
        <is>
          <t>여신전문금융업법</t>
        </is>
      </c>
      <c r="E879" s="2" t="inlineStr">
        <is>
          <t>definition_term</t>
        </is>
      </c>
      <c r="F879" s="2" t="inlineStr">
        <is>
          <t>다음은 「여신전문금융업법」 제2조의 정의 조문이다: “신용카드업자와의 별도의 계약에 따라 다른 신용카드가맹점을 위하여 신용카드등에 의한 거래에 필요한 행위로서 대통령령으로 정하는 사항을 대행하는 신용카드가맹점” — 이 정의가 가리키는 용어는?</t>
        </is>
      </c>
      <c r="G879" s="2" t="inlineStr">
        <is>
          <t>span</t>
        </is>
      </c>
      <c r="H879" s="2" t="inlineStr">
        <is>
          <t>수납대행가맹점</t>
        </is>
      </c>
      <c r="I879" s="2" t="inlineStr"/>
      <c r="J879" s="2" t="inlineStr">
        <is>
          <t>국가법령정보센터 Open API (www.law.go.kr) — 여신전문금융업법 (시행 20251001)</t>
        </is>
      </c>
      <c r="K879" s="2" t="inlineStr">
        <is>
          <t>제2조</t>
        </is>
      </c>
      <c r="L879" s="2" t="inlineStr">
        <is>
          <t>제2조(정의) 이 법에서 사용하는 용어의 뜻은 다음과 같다.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t>
        </is>
      </c>
    </row>
    <row r="880">
      <c r="A880" s="2" t="inlineStr">
        <is>
          <t>REG-0879</t>
        </is>
      </c>
      <c r="B880" s="2" t="inlineStr">
        <is>
          <t>규정형</t>
        </is>
      </c>
      <c r="C880" s="2" t="inlineStr">
        <is>
          <t>카드</t>
        </is>
      </c>
      <c r="D880" s="2" t="inlineStr">
        <is>
          <t>여신전문금융업법</t>
        </is>
      </c>
      <c r="E880" s="2" t="inlineStr">
        <is>
          <t>definition_term</t>
        </is>
      </c>
      <c r="F880" s="2" t="inlineStr">
        <is>
          <t>「여신전문금융업법」 제2조(정의)에서 “신용카드업자를 위하여 가맹점계약의 체결을 중개 또는 대리하고 부가통신업자를 위하여 신용카드 단말기를 설치하는 자로서 제16조의3에 따라 금융위원회에 등록을 한 자”(으)로 정의되는 용어는 무엇인가?</t>
        </is>
      </c>
      <c r="G880" s="2" t="inlineStr">
        <is>
          <t>span</t>
        </is>
      </c>
      <c r="H880" s="2" t="inlineStr">
        <is>
          <t>가맹점모집인</t>
        </is>
      </c>
      <c r="I880" s="2" t="inlineStr"/>
      <c r="J880" s="2" t="inlineStr">
        <is>
          <t>국가법령정보센터 Open API (www.law.go.kr) — 여신전문금융업법 (시행 20251001)</t>
        </is>
      </c>
      <c r="K880" s="2" t="inlineStr">
        <is>
          <t>제2조</t>
        </is>
      </c>
      <c r="L880" s="2" t="inlineStr">
        <is>
          <t>제2조(정의) 이 법에서 사용하는 용어의 뜻은 다음과 같다.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t>
        </is>
      </c>
    </row>
    <row r="881">
      <c r="A881" s="2" t="inlineStr">
        <is>
          <t>REG-0880</t>
        </is>
      </c>
      <c r="B881" s="2" t="inlineStr">
        <is>
          <t>규정형</t>
        </is>
      </c>
      <c r="C881" s="2" t="inlineStr">
        <is>
          <t>카드</t>
        </is>
      </c>
      <c r="D881" s="2" t="inlineStr">
        <is>
          <t>여신전문금융업법</t>
        </is>
      </c>
      <c r="E881" s="2" t="inlineStr">
        <is>
          <t>definition_term</t>
        </is>
      </c>
      <c r="F881" s="2" t="inlineStr">
        <is>
          <t>「여신전문금융업법」 제2조에서 “신용카드업자가 신용카드의 이용금액 등에 따라 신용카드회원에게 적립하여 재화를 구매하거나 서비스를 이용할 수 있도록 하는 경제상의 이익”(이)라고 정의된 용어는 무엇인가?</t>
        </is>
      </c>
      <c r="G881" s="2" t="inlineStr">
        <is>
          <t>span</t>
        </is>
      </c>
      <c r="H881" s="2" t="inlineStr">
        <is>
          <t>신용카드포인트</t>
        </is>
      </c>
      <c r="I881" s="2" t="inlineStr"/>
      <c r="J881" s="2" t="inlineStr">
        <is>
          <t>국가법령정보센터 Open API (www.law.go.kr) — 여신전문금융업법 (시행 20251001)</t>
        </is>
      </c>
      <c r="K881" s="2" t="inlineStr">
        <is>
          <t>제2조</t>
        </is>
      </c>
      <c r="L881" s="2" t="inlineStr">
        <is>
          <t>제2조(정의) 이 법에서 사용하는 용어의 뜻은 다음과 같다.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t>
        </is>
      </c>
    </row>
    <row r="882">
      <c r="A882" s="2" t="inlineStr">
        <is>
          <t>REG-0881</t>
        </is>
      </c>
      <c r="B882" s="2" t="inlineStr">
        <is>
          <t>규정형</t>
        </is>
      </c>
      <c r="C882" s="2" t="inlineStr">
        <is>
          <t>카드</t>
        </is>
      </c>
      <c r="D882" s="2" t="inlineStr">
        <is>
          <t>여신전문금융업법</t>
        </is>
      </c>
      <c r="E882" s="2" t="inlineStr">
        <is>
          <t>definition_term</t>
        </is>
      </c>
      <c r="F882" s="2" t="inlineStr">
        <is>
          <t>「여신전문금융업법」 제2조에서 “신용카드업자와의 계약에 따라 그로부터 직불카드를 발급받은 자”(이)라고 정의된 용어는 무엇인가?</t>
        </is>
      </c>
      <c r="G882" s="2" t="inlineStr">
        <is>
          <t>span</t>
        </is>
      </c>
      <c r="H882" s="2" t="inlineStr">
        <is>
          <t>직불카드회원</t>
        </is>
      </c>
      <c r="I882" s="2" t="inlineStr"/>
      <c r="J882" s="2" t="inlineStr">
        <is>
          <t>국가법령정보센터 Open API (www.law.go.kr) — 여신전문금융업법 (시행 20251001)</t>
        </is>
      </c>
      <c r="K882" s="2" t="inlineStr">
        <is>
          <t>제2조</t>
        </is>
      </c>
      <c r="L882" s="2" t="inlineStr">
        <is>
          <t>제2조(정의) 이 법에서 사용하는 용어의 뜻은 다음과 같다.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t>
        </is>
      </c>
    </row>
    <row r="883">
      <c r="A883" s="2" t="inlineStr">
        <is>
          <t>REG-0882</t>
        </is>
      </c>
      <c r="B883" s="2" t="inlineStr">
        <is>
          <t>규정형</t>
        </is>
      </c>
      <c r="C883" s="2" t="inlineStr">
        <is>
          <t>카드</t>
        </is>
      </c>
      <c r="D883" s="2" t="inlineStr">
        <is>
          <t>여신전문금융업법</t>
        </is>
      </c>
      <c r="E883" s="2" t="inlineStr">
        <is>
          <t>definition_term</t>
        </is>
      </c>
      <c r="F883" s="2" t="inlineStr">
        <is>
          <t>「여신전문금융업법」 제2조에서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것”(이)라고 정의된 용어는 무엇인가?</t>
        </is>
      </c>
      <c r="G883" s="2" t="inlineStr">
        <is>
          <t>span</t>
        </is>
      </c>
      <c r="H883" s="2" t="inlineStr">
        <is>
          <t>신용카드등부가통신업</t>
        </is>
      </c>
      <c r="I883" s="2" t="inlineStr"/>
      <c r="J883" s="2" t="inlineStr">
        <is>
          <t>국가법령정보센터 Open API (www.law.go.kr) — 여신전문금융업법 (시행 20251001)</t>
        </is>
      </c>
      <c r="K883" s="2" t="inlineStr">
        <is>
          <t>제2조</t>
        </is>
      </c>
      <c r="L883" s="2" t="inlineStr">
        <is>
          <t>제2조(정의) 이 법에서 사용하는 용어의 뜻은 다음과 같다.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t>
        </is>
      </c>
    </row>
    <row r="884">
      <c r="A884" s="2" t="inlineStr">
        <is>
          <t>REG-0883</t>
        </is>
      </c>
      <c r="B884" s="2" t="inlineStr">
        <is>
          <t>규정형</t>
        </is>
      </c>
      <c r="C884" s="2" t="inlineStr">
        <is>
          <t>카드</t>
        </is>
      </c>
      <c r="D884" s="2" t="inlineStr">
        <is>
          <t>여신전문금융업법</t>
        </is>
      </c>
      <c r="E884" s="2" t="inlineStr">
        <is>
          <t>definition_term</t>
        </is>
      </c>
      <c r="F884" s="2" t="inlineStr">
        <is>
          <t>다음은 「여신전문금융업법」 제2조의 정의 조문이다: “신용카드등부가통신업에 대하여 제27조의2에 따라 금융위원회에 등록을 한 자” — 이 정의가 가리키는 용어는?</t>
        </is>
      </c>
      <c r="G884" s="2" t="inlineStr">
        <is>
          <t>span</t>
        </is>
      </c>
      <c r="H884" s="2" t="inlineStr">
        <is>
          <t>부가통신업자</t>
        </is>
      </c>
      <c r="I884" s="2" t="inlineStr"/>
      <c r="J884" s="2" t="inlineStr">
        <is>
          <t>국가법령정보센터 Open API (www.law.go.kr) — 여신전문금융업법 (시행 20251001)</t>
        </is>
      </c>
      <c r="K884" s="2" t="inlineStr">
        <is>
          <t>제2조</t>
        </is>
      </c>
      <c r="L884" s="2" t="inlineStr">
        <is>
          <t>제2조(정의) 이 법에서 사용하는 용어의 뜻은 다음과 같다.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t>
        </is>
      </c>
    </row>
    <row r="885">
      <c r="A885" s="2" t="inlineStr">
        <is>
          <t>REG-0884</t>
        </is>
      </c>
      <c r="B885" s="2" t="inlineStr">
        <is>
          <t>규정형</t>
        </is>
      </c>
      <c r="C885" s="2" t="inlineStr">
        <is>
          <t>카드</t>
        </is>
      </c>
      <c r="D885" s="2" t="inlineStr">
        <is>
          <t>여신전문금융업법</t>
        </is>
      </c>
      <c r="E885" s="2" t="inlineStr">
        <is>
          <t>definition_term</t>
        </is>
      </c>
      <c r="F885" s="2" t="inlineStr">
        <is>
          <t>다음은 「여신전문금융업법」 제2조의 정의 조문이다: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 — 이 정의가 가리키는 용어는?</t>
        </is>
      </c>
      <c r="G885" s="2" t="inlineStr">
        <is>
          <t>span</t>
        </is>
      </c>
      <c r="H885" s="2" t="inlineStr">
        <is>
          <t>시설대여</t>
        </is>
      </c>
      <c r="I885" s="2" t="inlineStr"/>
      <c r="J885" s="2" t="inlineStr">
        <is>
          <t>국가법령정보센터 Open API (www.law.go.kr) — 여신전문금융업법 (시행 20251001)</t>
        </is>
      </c>
      <c r="K885" s="2" t="inlineStr">
        <is>
          <t>제2조</t>
        </is>
      </c>
      <c r="L885" s="2" t="inlineStr">
        <is>
          <t>제2조(정의) 이 법에서 사용하는 용어의 뜻은 다음과 같다.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t>
        </is>
      </c>
    </row>
    <row r="886">
      <c r="A886" s="2" t="inlineStr">
        <is>
          <t>REG-0885</t>
        </is>
      </c>
      <c r="B886" s="2" t="inlineStr">
        <is>
          <t>규정형</t>
        </is>
      </c>
      <c r="C886" s="2" t="inlineStr">
        <is>
          <t>카드</t>
        </is>
      </c>
      <c r="D886" s="2" t="inlineStr">
        <is>
          <t>여신전문금융업법</t>
        </is>
      </c>
      <c r="E886" s="2" t="inlineStr">
        <is>
          <t>definition_term</t>
        </is>
      </c>
      <c r="F886" s="2" t="inlineStr">
        <is>
          <t>다음은 「여신전문금융업법」 제2조의 정의 조문이다: “시설대여업에 대하여 제3조제2항에 따라 금융위원회에 등록한 자” — 이 정의가 가리키는 용어는?</t>
        </is>
      </c>
      <c r="G886" s="2" t="inlineStr">
        <is>
          <t>span</t>
        </is>
      </c>
      <c r="H886" s="2" t="inlineStr">
        <is>
          <t>시설대여업자</t>
        </is>
      </c>
      <c r="I886" s="2" t="inlineStr"/>
      <c r="J886" s="2" t="inlineStr">
        <is>
          <t>국가법령정보센터 Open API (www.law.go.kr) — 여신전문금융업법 (시행 20251001)</t>
        </is>
      </c>
      <c r="K886" s="2" t="inlineStr">
        <is>
          <t>제2조</t>
        </is>
      </c>
      <c r="L886" s="2" t="inlineStr">
        <is>
          <t>제2조(정의) 이 법에서 사용하는 용어의 뜻은 다음과 같다.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t>
        </is>
      </c>
    </row>
    <row r="887">
      <c r="A887" s="2" t="inlineStr">
        <is>
          <t>REG-0886</t>
        </is>
      </c>
      <c r="B887" s="2" t="inlineStr">
        <is>
          <t>규정형</t>
        </is>
      </c>
      <c r="C887" s="2" t="inlineStr">
        <is>
          <t>카드</t>
        </is>
      </c>
      <c r="D887" s="2" t="inlineStr">
        <is>
          <t>여신전문금융업법</t>
        </is>
      </c>
      <c r="E887" s="2" t="inlineStr">
        <is>
          <t>definition_term</t>
        </is>
      </c>
      <c r="F887" s="2" t="inlineStr">
        <is>
          <t>「여신전문금융업법」 제2조에서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금융”(이)라고 정의된 용어는 무엇인가?</t>
        </is>
      </c>
      <c r="G887" s="2" t="inlineStr">
        <is>
          <t>span</t>
        </is>
      </c>
      <c r="H887" s="2" t="inlineStr">
        <is>
          <t>연불판매(延拂販賣)</t>
        </is>
      </c>
      <c r="I887" s="2" t="inlineStr"/>
      <c r="J887" s="2" t="inlineStr">
        <is>
          <t>국가법령정보센터 Open API (www.law.go.kr) — 여신전문금융업법 (시행 20251001)</t>
        </is>
      </c>
      <c r="K887" s="2" t="inlineStr">
        <is>
          <t>제2조</t>
        </is>
      </c>
      <c r="L887" s="2" t="inlineStr">
        <is>
          <t>제2조(정의) 이 법에서 사용하는 용어의 뜻은 다음과 같다.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t>
        </is>
      </c>
    </row>
    <row r="888">
      <c r="A888" s="2" t="inlineStr">
        <is>
          <t>REG-0887</t>
        </is>
      </c>
      <c r="B888" s="2" t="inlineStr">
        <is>
          <t>규정형</t>
        </is>
      </c>
      <c r="C888" s="2" t="inlineStr">
        <is>
          <t>공통</t>
        </is>
      </c>
      <c r="D888" s="2" t="inlineStr">
        <is>
          <t>은행법</t>
        </is>
      </c>
      <c r="E888" s="2" t="inlineStr">
        <is>
          <t>law_meta</t>
        </is>
      </c>
      <c r="F888" s="2" t="inlineStr">
        <is>
          <t>현행 「은행법」은(는) 언제부터 시행되는가?</t>
        </is>
      </c>
      <c r="G888" s="2" t="inlineStr">
        <is>
          <t>span</t>
        </is>
      </c>
      <c r="H888" s="2" t="inlineStr">
        <is>
          <t>2026-07-01</t>
        </is>
      </c>
      <c r="I888" s="2" t="inlineStr"/>
      <c r="J888" s="2" t="inlineStr">
        <is>
          <t>국가법령정보센터 Open API (www.law.go.kr) — 은행법 기본정보</t>
        </is>
      </c>
      <c r="K888" s="2" t="inlineStr">
        <is>
          <t>기본정보</t>
        </is>
      </c>
      <c r="L888" s="2" t="inlineStr">
        <is>
          <t>시행 2026-07-01</t>
        </is>
      </c>
    </row>
    <row r="889">
      <c r="A889" s="2" t="inlineStr">
        <is>
          <t>REG-0888</t>
        </is>
      </c>
      <c r="B889" s="2" t="inlineStr">
        <is>
          <t>규정형</t>
        </is>
      </c>
      <c r="C889" s="2" t="inlineStr">
        <is>
          <t>공통</t>
        </is>
      </c>
      <c r="D889" s="2" t="inlineStr">
        <is>
          <t>은행법</t>
        </is>
      </c>
      <c r="E889" s="2" t="inlineStr">
        <is>
          <t>law_meta</t>
        </is>
      </c>
      <c r="F889" s="2" t="inlineStr">
        <is>
          <t>「은행법」을 소관하는 정부 부처는?</t>
        </is>
      </c>
      <c r="G889" s="2" t="inlineStr">
        <is>
          <t>span</t>
        </is>
      </c>
      <c r="H889" s="2" t="inlineStr">
        <is>
          <t>금융위원회</t>
        </is>
      </c>
      <c r="I889" s="2" t="inlineStr"/>
      <c r="J889" s="2" t="inlineStr">
        <is>
          <t>국가법령정보센터 Open API (www.law.go.kr) — 은행법 기본정보</t>
        </is>
      </c>
      <c r="K889" s="2" t="inlineStr">
        <is>
          <t>기본정보</t>
        </is>
      </c>
      <c r="L889" s="2" t="inlineStr">
        <is>
          <t>시행 2026-07-01</t>
        </is>
      </c>
    </row>
    <row r="890">
      <c r="A890" s="2" t="inlineStr">
        <is>
          <t>REG-0889</t>
        </is>
      </c>
      <c r="B890" s="2" t="inlineStr">
        <is>
          <t>규정형</t>
        </is>
      </c>
      <c r="C890" s="2" t="inlineStr">
        <is>
          <t>펀드</t>
        </is>
      </c>
      <c r="D890" s="2" t="inlineStr">
        <is>
          <t>자본시장과 금융투자업에 관한 법률</t>
        </is>
      </c>
      <c r="E890" s="2" t="inlineStr">
        <is>
          <t>law_meta</t>
        </is>
      </c>
      <c r="F890" s="2" t="inlineStr">
        <is>
          <t>「자본시장과 금융투자업에 관한 법률」 현행 법령의 시행일자는 언제인가?</t>
        </is>
      </c>
      <c r="G890" s="2" t="inlineStr">
        <is>
          <t>span</t>
        </is>
      </c>
      <c r="H890" s="2" t="inlineStr">
        <is>
          <t>2026-02-03</t>
        </is>
      </c>
      <c r="I890" s="2" t="inlineStr"/>
      <c r="J890" s="2" t="inlineStr">
        <is>
          <t>국가법령정보센터 Open API (www.law.go.kr) — 자본시장과 금융투자업에 관한 법률 기본정보</t>
        </is>
      </c>
      <c r="K890" s="2" t="inlineStr">
        <is>
          <t>기본정보</t>
        </is>
      </c>
      <c r="L890" s="2" t="inlineStr">
        <is>
          <t>시행 2026-02-03</t>
        </is>
      </c>
    </row>
    <row r="891">
      <c r="A891" s="2" t="inlineStr">
        <is>
          <t>REG-0890</t>
        </is>
      </c>
      <c r="B891" s="2" t="inlineStr">
        <is>
          <t>규정형</t>
        </is>
      </c>
      <c r="C891" s="2" t="inlineStr">
        <is>
          <t>펀드</t>
        </is>
      </c>
      <c r="D891" s="2" t="inlineStr">
        <is>
          <t>자본시장과 금융투자업에 관한 법률</t>
        </is>
      </c>
      <c r="E891" s="2" t="inlineStr">
        <is>
          <t>law_meta</t>
        </is>
      </c>
      <c r="F891" s="2" t="inlineStr">
        <is>
          <t>「자본시장과 금융투자업에 관한 법률」의 소관부처는 어디인가?</t>
        </is>
      </c>
      <c r="G891" s="2" t="inlineStr">
        <is>
          <t>span</t>
        </is>
      </c>
      <c r="H891" s="2" t="inlineStr">
        <is>
          <t>금융위원회</t>
        </is>
      </c>
      <c r="I891" s="2" t="inlineStr"/>
      <c r="J891" s="2" t="inlineStr">
        <is>
          <t>국가법령정보센터 Open API (www.law.go.kr) — 자본시장과 금융투자업에 관한 법률 기본정보</t>
        </is>
      </c>
      <c r="K891" s="2" t="inlineStr">
        <is>
          <t>기본정보</t>
        </is>
      </c>
      <c r="L891" s="2" t="inlineStr">
        <is>
          <t>시행 2026-02-03</t>
        </is>
      </c>
    </row>
    <row r="892">
      <c r="A892" s="2" t="inlineStr">
        <is>
          <t>REG-0891</t>
        </is>
      </c>
      <c r="B892" s="2" t="inlineStr">
        <is>
          <t>규정형</t>
        </is>
      </c>
      <c r="C892" s="2" t="inlineStr">
        <is>
          <t>예금</t>
        </is>
      </c>
      <c r="D892" s="2" t="inlineStr">
        <is>
          <t>예금자보호법</t>
        </is>
      </c>
      <c r="E892" s="2" t="inlineStr">
        <is>
          <t>law_meta</t>
        </is>
      </c>
      <c r="F892" s="2" t="inlineStr">
        <is>
          <t>현행 「예금자보호법」은(는) 언제부터 시행되는가?</t>
        </is>
      </c>
      <c r="G892" s="2" t="inlineStr">
        <is>
          <t>span</t>
        </is>
      </c>
      <c r="H892" s="2" t="inlineStr">
        <is>
          <t>2026-01-02</t>
        </is>
      </c>
      <c r="I892" s="2" t="inlineStr"/>
      <c r="J892" s="2" t="inlineStr">
        <is>
          <t>국가법령정보센터 Open API (www.law.go.kr) — 예금자보호법 기본정보</t>
        </is>
      </c>
      <c r="K892" s="2" t="inlineStr">
        <is>
          <t>기본정보</t>
        </is>
      </c>
      <c r="L892" s="2" t="inlineStr">
        <is>
          <t>시행 2026-01-02</t>
        </is>
      </c>
    </row>
    <row r="893">
      <c r="A893" s="2" t="inlineStr">
        <is>
          <t>REG-0892</t>
        </is>
      </c>
      <c r="B893" s="2" t="inlineStr">
        <is>
          <t>규정형</t>
        </is>
      </c>
      <c r="C893" s="2" t="inlineStr">
        <is>
          <t>예금</t>
        </is>
      </c>
      <c r="D893" s="2" t="inlineStr">
        <is>
          <t>예금자보호법</t>
        </is>
      </c>
      <c r="E893" s="2" t="inlineStr">
        <is>
          <t>law_meta</t>
        </is>
      </c>
      <c r="F893" s="2" t="inlineStr">
        <is>
          <t>「예금자보호법」을 소관하는 정부 부처는?</t>
        </is>
      </c>
      <c r="G893" s="2" t="inlineStr">
        <is>
          <t>span</t>
        </is>
      </c>
      <c r="H893" s="2" t="inlineStr">
        <is>
          <t>금융위원회</t>
        </is>
      </c>
      <c r="I893" s="2" t="inlineStr"/>
      <c r="J893" s="2" t="inlineStr">
        <is>
          <t>국가법령정보센터 Open API (www.law.go.kr) — 예금자보호법 기본정보</t>
        </is>
      </c>
      <c r="K893" s="2" t="inlineStr">
        <is>
          <t>기본정보</t>
        </is>
      </c>
      <c r="L893" s="2" t="inlineStr">
        <is>
          <t>시행 2026-01-02</t>
        </is>
      </c>
    </row>
    <row r="894">
      <c r="A894" s="2" t="inlineStr">
        <is>
          <t>REG-0893</t>
        </is>
      </c>
      <c r="B894" s="2" t="inlineStr">
        <is>
          <t>규정형</t>
        </is>
      </c>
      <c r="C894" s="2" t="inlineStr">
        <is>
          <t>공통</t>
        </is>
      </c>
      <c r="D894" s="2" t="inlineStr">
        <is>
          <t>금융소비자 보호에 관한 법률</t>
        </is>
      </c>
      <c r="E894" s="2" t="inlineStr">
        <is>
          <t>law_meta</t>
        </is>
      </c>
      <c r="F894" s="2" t="inlineStr">
        <is>
          <t>현행 「금융소비자 보호에 관한 법률」은(는) 언제부터 시행되는가?</t>
        </is>
      </c>
      <c r="G894" s="2" t="inlineStr">
        <is>
          <t>span</t>
        </is>
      </c>
      <c r="H894" s="2" t="inlineStr">
        <is>
          <t>2026-01-02</t>
        </is>
      </c>
      <c r="I894" s="2" t="inlineStr"/>
      <c r="J894" s="2" t="inlineStr">
        <is>
          <t>국가법령정보센터 Open API (www.law.go.kr) — 금융소비자 보호에 관한 법률 기본정보</t>
        </is>
      </c>
      <c r="K894" s="2" t="inlineStr">
        <is>
          <t>기본정보</t>
        </is>
      </c>
      <c r="L894" s="2" t="inlineStr">
        <is>
          <t>시행 2026-01-02</t>
        </is>
      </c>
    </row>
    <row r="895">
      <c r="A895" s="2" t="inlineStr">
        <is>
          <t>REG-0894</t>
        </is>
      </c>
      <c r="B895" s="2" t="inlineStr">
        <is>
          <t>규정형</t>
        </is>
      </c>
      <c r="C895" s="2" t="inlineStr">
        <is>
          <t>공통</t>
        </is>
      </c>
      <c r="D895" s="2" t="inlineStr">
        <is>
          <t>금융소비자 보호에 관한 법률</t>
        </is>
      </c>
      <c r="E895" s="2" t="inlineStr">
        <is>
          <t>law_meta</t>
        </is>
      </c>
      <c r="F895" s="2" t="inlineStr">
        <is>
          <t>「금융소비자 보호에 관한 법률」을 소관하는 정부 부처는?</t>
        </is>
      </c>
      <c r="G895" s="2" t="inlineStr">
        <is>
          <t>span</t>
        </is>
      </c>
      <c r="H895" s="2" t="inlineStr">
        <is>
          <t>금융위원회</t>
        </is>
      </c>
      <c r="I895" s="2" t="inlineStr"/>
      <c r="J895" s="2" t="inlineStr">
        <is>
          <t>국가법령정보센터 Open API (www.law.go.kr) — 금융소비자 보호에 관한 법률 기본정보</t>
        </is>
      </c>
      <c r="K895" s="2" t="inlineStr">
        <is>
          <t>기본정보</t>
        </is>
      </c>
      <c r="L895" s="2" t="inlineStr">
        <is>
          <t>시행 2026-01-02</t>
        </is>
      </c>
    </row>
    <row r="896">
      <c r="A896" s="2" t="inlineStr">
        <is>
          <t>REG-0895</t>
        </is>
      </c>
      <c r="B896" s="2" t="inlineStr">
        <is>
          <t>규정형</t>
        </is>
      </c>
      <c r="C896" s="2" t="inlineStr">
        <is>
          <t>외환</t>
        </is>
      </c>
      <c r="D896" s="2" t="inlineStr">
        <is>
          <t>외국환거래법</t>
        </is>
      </c>
      <c r="E896" s="2" t="inlineStr">
        <is>
          <t>law_meta</t>
        </is>
      </c>
      <c r="F896" s="2" t="inlineStr">
        <is>
          <t>현행 「외국환거래법」은(는) 언제부터 시행되는가?</t>
        </is>
      </c>
      <c r="G896" s="2" t="inlineStr">
        <is>
          <t>span</t>
        </is>
      </c>
      <c r="H896" s="2" t="inlineStr">
        <is>
          <t>2026-01-02</t>
        </is>
      </c>
      <c r="I896" s="2" t="inlineStr"/>
      <c r="J896" s="2" t="inlineStr">
        <is>
          <t>국가법령정보센터 Open API (www.law.go.kr) — 외국환거래법 기본정보</t>
        </is>
      </c>
      <c r="K896" s="2" t="inlineStr">
        <is>
          <t>기본정보</t>
        </is>
      </c>
      <c r="L896" s="2" t="inlineStr">
        <is>
          <t>시행 2026-01-02</t>
        </is>
      </c>
    </row>
    <row r="897">
      <c r="A897" s="2" t="inlineStr">
        <is>
          <t>REG-0896</t>
        </is>
      </c>
      <c r="B897" s="2" t="inlineStr">
        <is>
          <t>규정형</t>
        </is>
      </c>
      <c r="C897" s="2" t="inlineStr">
        <is>
          <t>외환</t>
        </is>
      </c>
      <c r="D897" s="2" t="inlineStr">
        <is>
          <t>외국환거래법</t>
        </is>
      </c>
      <c r="E897" s="2" t="inlineStr">
        <is>
          <t>law_meta</t>
        </is>
      </c>
      <c r="F897" s="2" t="inlineStr">
        <is>
          <t>「외국환거래법」을 소관하는 정부 부처는?</t>
        </is>
      </c>
      <c r="G897" s="2" t="inlineStr">
        <is>
          <t>span</t>
        </is>
      </c>
      <c r="H897" s="2" t="inlineStr">
        <is>
          <t>재정경제부</t>
        </is>
      </c>
      <c r="I897" s="2" t="inlineStr"/>
      <c r="J897" s="2" t="inlineStr">
        <is>
          <t>국가법령정보센터 Open API (www.law.go.kr) — 외국환거래법 기본정보</t>
        </is>
      </c>
      <c r="K897" s="2" t="inlineStr">
        <is>
          <t>기본정보</t>
        </is>
      </c>
      <c r="L897" s="2" t="inlineStr">
        <is>
          <t>시행 2026-01-02</t>
        </is>
      </c>
    </row>
    <row r="898">
      <c r="A898" s="2" t="inlineStr">
        <is>
          <t>REG-0897</t>
        </is>
      </c>
      <c r="B898" s="2" t="inlineStr">
        <is>
          <t>규정형</t>
        </is>
      </c>
      <c r="C898" s="2" t="inlineStr">
        <is>
          <t>퇴직연금</t>
        </is>
      </c>
      <c r="D898" s="2" t="inlineStr">
        <is>
          <t>근로자퇴직급여 보장법</t>
        </is>
      </c>
      <c r="E898" s="2" t="inlineStr">
        <is>
          <t>law_meta</t>
        </is>
      </c>
      <c r="F898" s="2" t="inlineStr">
        <is>
          <t>「근로자퇴직급여 보장법」 현행 법령의 시행일자는 언제인가?</t>
        </is>
      </c>
      <c r="G898" s="2" t="inlineStr">
        <is>
          <t>span</t>
        </is>
      </c>
      <c r="H898" s="2" t="inlineStr">
        <is>
          <t>2026-07-01</t>
        </is>
      </c>
      <c r="I898" s="2" t="inlineStr"/>
      <c r="J898" s="2" t="inlineStr">
        <is>
          <t>국가법령정보센터 Open API (www.law.go.kr) — 근로자퇴직급여 보장법 기본정보</t>
        </is>
      </c>
      <c r="K898" s="2" t="inlineStr">
        <is>
          <t>기본정보</t>
        </is>
      </c>
      <c r="L898" s="2" t="inlineStr">
        <is>
          <t>시행 2026-07-01</t>
        </is>
      </c>
    </row>
    <row r="899">
      <c r="A899" s="2" t="inlineStr">
        <is>
          <t>REG-0898</t>
        </is>
      </c>
      <c r="B899" s="2" t="inlineStr">
        <is>
          <t>규정형</t>
        </is>
      </c>
      <c r="C899" s="2" t="inlineStr">
        <is>
          <t>퇴직연금</t>
        </is>
      </c>
      <c r="D899" s="2" t="inlineStr">
        <is>
          <t>근로자퇴직급여 보장법</t>
        </is>
      </c>
      <c r="E899" s="2" t="inlineStr">
        <is>
          <t>law_meta</t>
        </is>
      </c>
      <c r="F899" s="2" t="inlineStr">
        <is>
          <t>「근로자퇴직급여 보장법」을 소관하는 정부 부처는?</t>
        </is>
      </c>
      <c r="G899" s="2" t="inlineStr">
        <is>
          <t>span</t>
        </is>
      </c>
      <c r="H899" s="2" t="inlineStr">
        <is>
          <t>고용노동부</t>
        </is>
      </c>
      <c r="I899" s="2" t="inlineStr"/>
      <c r="J899" s="2" t="inlineStr">
        <is>
          <t>국가법령정보센터 Open API (www.law.go.kr) — 근로자퇴직급여 보장법 기본정보</t>
        </is>
      </c>
      <c r="K899" s="2" t="inlineStr">
        <is>
          <t>기본정보</t>
        </is>
      </c>
      <c r="L899" s="2" t="inlineStr">
        <is>
          <t>시행 2026-07-01</t>
        </is>
      </c>
    </row>
    <row r="900">
      <c r="A900" s="2" t="inlineStr">
        <is>
          <t>REG-0899</t>
        </is>
      </c>
      <c r="B900" s="2" t="inlineStr">
        <is>
          <t>규정형</t>
        </is>
      </c>
      <c r="C900" s="2" t="inlineStr">
        <is>
          <t>카드</t>
        </is>
      </c>
      <c r="D900" s="2" t="inlineStr">
        <is>
          <t>여신전문금융업법</t>
        </is>
      </c>
      <c r="E900" s="2" t="inlineStr">
        <is>
          <t>law_meta</t>
        </is>
      </c>
      <c r="F900" s="2" t="inlineStr">
        <is>
          <t>현행 「여신전문금융업법」은(는) 언제부터 시행되는가?</t>
        </is>
      </c>
      <c r="G900" s="2" t="inlineStr">
        <is>
          <t>span</t>
        </is>
      </c>
      <c r="H900" s="2" t="inlineStr">
        <is>
          <t>2025-10-01</t>
        </is>
      </c>
      <c r="I900" s="2" t="inlineStr"/>
      <c r="J900" s="2" t="inlineStr">
        <is>
          <t>국가법령정보센터 Open API (www.law.go.kr) — 여신전문금융업법 기본정보</t>
        </is>
      </c>
      <c r="K900" s="2" t="inlineStr">
        <is>
          <t>기본정보</t>
        </is>
      </c>
      <c r="L900" s="2" t="inlineStr">
        <is>
          <t>시행 2025-10-01</t>
        </is>
      </c>
    </row>
    <row r="901">
      <c r="A901" s="2" t="inlineStr">
        <is>
          <t>REG-0900</t>
        </is>
      </c>
      <c r="B901" s="2" t="inlineStr">
        <is>
          <t>규정형</t>
        </is>
      </c>
      <c r="C901" s="2" t="inlineStr">
        <is>
          <t>카드</t>
        </is>
      </c>
      <c r="D901" s="2" t="inlineStr">
        <is>
          <t>여신전문금융업법</t>
        </is>
      </c>
      <c r="E901" s="2" t="inlineStr">
        <is>
          <t>law_meta</t>
        </is>
      </c>
      <c r="F901" s="2" t="inlineStr">
        <is>
          <t>「여신전문금융업법」의 소관부처는 어디인가?</t>
        </is>
      </c>
      <c r="G901" s="2" t="inlineStr">
        <is>
          <t>span</t>
        </is>
      </c>
      <c r="H901" s="2" t="inlineStr">
        <is>
          <t>금융위원회</t>
        </is>
      </c>
      <c r="I901" s="2" t="inlineStr"/>
      <c r="J901" s="2" t="inlineStr">
        <is>
          <t>국가법령정보센터 Open API (www.law.go.kr) — 여신전문금융업법 기본정보</t>
        </is>
      </c>
      <c r="K901" s="2" t="inlineStr">
        <is>
          <t>기본정보</t>
        </is>
      </c>
      <c r="L901" s="2" t="inlineStr">
        <is>
          <t>시행 2025-10-01</t>
        </is>
      </c>
    </row>
    <row r="902">
      <c r="A902" s="2" t="inlineStr">
        <is>
          <t>REG-0901</t>
        </is>
      </c>
      <c r="B902" s="2" t="inlineStr">
        <is>
          <t>규정형</t>
        </is>
      </c>
      <c r="C902" s="2" t="inlineStr">
        <is>
          <t>공통</t>
        </is>
      </c>
      <c r="D902" s="2" t="inlineStr">
        <is>
          <t>은행법</t>
        </is>
      </c>
      <c r="E902" s="2" t="inlineStr">
        <is>
          <t>penalty_amount</t>
        </is>
      </c>
      <c r="F902" s="2" t="inlineStr">
        <is>
          <t>「은행법」 제66조(벌칙)의 징역형 상한은 몇 년인가?</t>
        </is>
      </c>
      <c r="G902" s="2" t="inlineStr">
        <is>
          <t>numeric</t>
        </is>
      </c>
      <c r="H902" s="2" t="inlineStr">
        <is>
          <t>10</t>
        </is>
      </c>
      <c r="I902" s="2" t="inlineStr">
        <is>
          <t>년</t>
        </is>
      </c>
      <c r="J902" s="2" t="inlineStr">
        <is>
          <t>국가법령정보센터 Open API (www.law.go.kr) — 은행법 (시행 20260701)</t>
        </is>
      </c>
      <c r="K902" s="2" t="inlineStr">
        <is>
          <t>제66조</t>
        </is>
      </c>
      <c r="L902" s="2" t="inlineStr">
        <is>
          <t>제66조(벌칙)
① 다음 각 호의 어느 하나에 해당하는 자는 10년 이하의 징역 또는 5억원 이하의 벌금에 처한다.
1. 제21조의2를 위반한 자
2. 제35조의2제1항부터 제3항까지 및 제7항ㆍ제8항을 위반하여 대주주에게 신용공여ㆍ무상양도를 한 자와 그로부터 신용공여ㆍ무상양도를 받은 대주주 또는 자산을 매매ㆍ교환한 당사자
3. 제35조의3제1항을 위반하여</t>
        </is>
      </c>
    </row>
    <row r="903">
      <c r="A903" s="2" t="inlineStr">
        <is>
          <t>REG-0902</t>
        </is>
      </c>
      <c r="B903" s="2" t="inlineStr">
        <is>
          <t>규정형</t>
        </is>
      </c>
      <c r="C903" s="2" t="inlineStr">
        <is>
          <t>공통</t>
        </is>
      </c>
      <c r="D903" s="2" t="inlineStr">
        <is>
          <t>은행법</t>
        </is>
      </c>
      <c r="E903" s="2" t="inlineStr">
        <is>
          <t>penalty_amount</t>
        </is>
      </c>
      <c r="F903" s="2" t="inlineStr">
        <is>
          <t>「은행법」 제66조(벌칙)에서 정한 벌금의 최고 상한은 얼마인가?</t>
        </is>
      </c>
      <c r="G903" s="2" t="inlineStr">
        <is>
          <t>span</t>
        </is>
      </c>
      <c r="H903" s="2" t="inlineStr">
        <is>
          <t>5억원</t>
        </is>
      </c>
      <c r="I903" s="2" t="inlineStr"/>
      <c r="J903" s="2" t="inlineStr">
        <is>
          <t>국가법령정보센터 Open API (www.law.go.kr) — 은행법 (시행 20260701)</t>
        </is>
      </c>
      <c r="K903" s="2" t="inlineStr">
        <is>
          <t>제66조</t>
        </is>
      </c>
      <c r="L903" s="2" t="inlineStr">
        <is>
          <t>제66조(벌칙)
① 다음 각 호의 어느 하나에 해당하는 자는 10년 이하의 징역 또는 5억원 이하의 벌금에 처한다.
1. 제21조의2를 위반한 자
2. 제35조의2제1항부터 제3항까지 및 제7항ㆍ제8항을 위반하여 대주주에게 신용공여ㆍ무상양도를 한 자와 그로부터 신용공여ㆍ무상양도를 받은 대주주 또는 자산을 매매ㆍ교환한 당사자
3. 제35조의3제1항을 위반하여</t>
        </is>
      </c>
    </row>
    <row r="904">
      <c r="A904" s="2" t="inlineStr">
        <is>
          <t>REG-0903</t>
        </is>
      </c>
      <c r="B904" s="2" t="inlineStr">
        <is>
          <t>규정형</t>
        </is>
      </c>
      <c r="C904" s="2" t="inlineStr">
        <is>
          <t>공통</t>
        </is>
      </c>
      <c r="D904" s="2" t="inlineStr">
        <is>
          <t>은행법</t>
        </is>
      </c>
      <c r="E904" s="2" t="inlineStr">
        <is>
          <t>penalty_amount</t>
        </is>
      </c>
      <c r="F904" s="2" t="inlineStr">
        <is>
          <t>「은행법」 제67조(벌칙)의 징역형 상한은 몇 년인가?</t>
        </is>
      </c>
      <c r="G904" s="2" t="inlineStr">
        <is>
          <t>numeric</t>
        </is>
      </c>
      <c r="H904" s="2" t="inlineStr">
        <is>
          <t>3</t>
        </is>
      </c>
      <c r="I904" s="2" t="inlineStr">
        <is>
          <t>년</t>
        </is>
      </c>
      <c r="J904" s="2" t="inlineStr">
        <is>
          <t>국가법령정보센터 Open API (www.law.go.kr) — 은행법 (시행 20260701)</t>
        </is>
      </c>
      <c r="K904" s="2" t="inlineStr">
        <is>
          <t>제67조</t>
        </is>
      </c>
      <c r="L904" s="2" t="inlineStr">
        <is>
          <t>제67조(벌칙) 다음 각 호의 어느 하나에 해당하는 자는 3년 이하의 징역 또는 1억원 이하의 벌금에 처한다. 
1. 제10조제1항을 위반하여 승인을 받지 아니하고 자본금의 감소에 해당하는 행위를 한 자
2. 제35조제1항ㆍ제3항 또는 제4항을 위반하여 신용공여를 한 자
3. 제37조제1항ㆍ제3항 또는 제6항부터 제8항까지의 규정 중 어느 하나를 위반한 자</t>
        </is>
      </c>
    </row>
    <row r="905">
      <c r="A905" s="2" t="inlineStr">
        <is>
          <t>REG-0904</t>
        </is>
      </c>
      <c r="B905" s="2" t="inlineStr">
        <is>
          <t>규정형</t>
        </is>
      </c>
      <c r="C905" s="2" t="inlineStr">
        <is>
          <t>공통</t>
        </is>
      </c>
      <c r="D905" s="2" t="inlineStr">
        <is>
          <t>은행법</t>
        </is>
      </c>
      <c r="E905" s="2" t="inlineStr">
        <is>
          <t>penalty_amount</t>
        </is>
      </c>
      <c r="F905" s="2" t="inlineStr">
        <is>
          <t>「은행법」 제67조(벌칙)에서 정한 벌금의 최고 상한은 얼마인가?</t>
        </is>
      </c>
      <c r="G905" s="2" t="inlineStr">
        <is>
          <t>span</t>
        </is>
      </c>
      <c r="H905" s="2" t="inlineStr">
        <is>
          <t>1억원</t>
        </is>
      </c>
      <c r="I905" s="2" t="inlineStr"/>
      <c r="J905" s="2" t="inlineStr">
        <is>
          <t>국가법령정보센터 Open API (www.law.go.kr) — 은행법 (시행 20260701)</t>
        </is>
      </c>
      <c r="K905" s="2" t="inlineStr">
        <is>
          <t>제67조</t>
        </is>
      </c>
      <c r="L905" s="2" t="inlineStr">
        <is>
          <t>제67조(벌칙) 다음 각 호의 어느 하나에 해당하는 자는 3년 이하의 징역 또는 1억원 이하의 벌금에 처한다. 
1. 제10조제1항을 위반하여 승인을 받지 아니하고 자본금의 감소에 해당하는 행위를 한 자
2. 제35조제1항ㆍ제3항 또는 제4항을 위반하여 신용공여를 한 자
3. 제37조제1항ㆍ제3항 또는 제6항부터 제8항까지의 규정 중 어느 하나를 위반한 자</t>
        </is>
      </c>
    </row>
    <row r="906">
      <c r="A906" s="2" t="inlineStr">
        <is>
          <t>REG-0905</t>
        </is>
      </c>
      <c r="B906" s="2" t="inlineStr">
        <is>
          <t>규정형</t>
        </is>
      </c>
      <c r="C906" s="2" t="inlineStr">
        <is>
          <t>공통</t>
        </is>
      </c>
      <c r="D906" s="2" t="inlineStr">
        <is>
          <t>은행법</t>
        </is>
      </c>
      <c r="E906" s="2" t="inlineStr">
        <is>
          <t>penalty_amount</t>
        </is>
      </c>
      <c r="F906" s="2" t="inlineStr">
        <is>
          <t>「은행법」 제68조(벌칙)에서 정한 징역형의 최고 상한은 몇 년인가?</t>
        </is>
      </c>
      <c r="G906" s="2" t="inlineStr">
        <is>
          <t>numeric</t>
        </is>
      </c>
      <c r="H906" s="2" t="inlineStr">
        <is>
          <t>1</t>
        </is>
      </c>
      <c r="I906" s="2" t="inlineStr">
        <is>
          <t>년</t>
        </is>
      </c>
      <c r="J906" s="2" t="inlineStr">
        <is>
          <t>국가법령정보센터 Open API (www.law.go.kr) — 은행법 (시행 20260701)</t>
        </is>
      </c>
      <c r="K906" s="2" t="inlineStr">
        <is>
          <t>제68조</t>
        </is>
      </c>
      <c r="L906" s="2" t="inlineStr">
        <is>
          <t>제68조(벌칙)
① 은행의 임원, 지배인, 대리점주(대리점주가 법인인 경우에는 그 업무를 집행하는 사원, 임원, 지배인, 그 밖의 법인의 대표자) 또는 청산인(이하 "은행의 임원등"이라 한다)이나 그 직원이 다음 각 호의 어느 하나에 해당하는 행위를 한 경우에는 1년 이하의 징역 또는 3천만원 이하의 벌금에 처한다.
1. 제9조를 위반하여 최저자본금을 유지</t>
        </is>
      </c>
    </row>
    <row r="907">
      <c r="A907" s="2" t="inlineStr">
        <is>
          <t>REG-0906</t>
        </is>
      </c>
      <c r="B907" s="2" t="inlineStr">
        <is>
          <t>규정형</t>
        </is>
      </c>
      <c r="C907" s="2" t="inlineStr">
        <is>
          <t>공통</t>
        </is>
      </c>
      <c r="D907" s="2" t="inlineStr">
        <is>
          <t>은행법</t>
        </is>
      </c>
      <c r="E907" s="2" t="inlineStr">
        <is>
          <t>penalty_amount</t>
        </is>
      </c>
      <c r="F907" s="2" t="inlineStr">
        <is>
          <t>「은행법」 제68조(벌칙)에서 정한 벌금의 최고 상한은 얼마인가?</t>
        </is>
      </c>
      <c r="G907" s="2" t="inlineStr">
        <is>
          <t>span</t>
        </is>
      </c>
      <c r="H907" s="2" t="inlineStr">
        <is>
          <t>3천만원</t>
        </is>
      </c>
      <c r="I907" s="2" t="inlineStr"/>
      <c r="J907" s="2" t="inlineStr">
        <is>
          <t>국가법령정보센터 Open API (www.law.go.kr) — 은행법 (시행 20260701)</t>
        </is>
      </c>
      <c r="K907" s="2" t="inlineStr">
        <is>
          <t>제68조</t>
        </is>
      </c>
      <c r="L907" s="2" t="inlineStr">
        <is>
          <t>제68조(벌칙)
① 은행의 임원, 지배인, 대리점주(대리점주가 법인인 경우에는 그 업무를 집행하는 사원, 임원, 지배인, 그 밖의 법인의 대표자) 또는 청산인(이하 "은행의 임원등"이라 한다)이나 그 직원이 다음 각 호의 어느 하나에 해당하는 행위를 한 경우에는 1년 이하의 징역 또는 3천만원 이하의 벌금에 처한다.
1. 제9조를 위반하여 최저자본금을 유지</t>
        </is>
      </c>
    </row>
    <row r="908">
      <c r="A908" s="2" t="inlineStr">
        <is>
          <t>REG-0907</t>
        </is>
      </c>
      <c r="B908" s="2" t="inlineStr">
        <is>
          <t>규정형</t>
        </is>
      </c>
      <c r="C908" s="2" t="inlineStr">
        <is>
          <t>공통</t>
        </is>
      </c>
      <c r="D908" s="2" t="inlineStr">
        <is>
          <t>은행법</t>
        </is>
      </c>
      <c r="E908" s="2" t="inlineStr">
        <is>
          <t>penalty_amount</t>
        </is>
      </c>
      <c r="F908" s="2" t="inlineStr">
        <is>
          <t>「은행법」 제69조(과태료)의 과태료 상한 금액은?</t>
        </is>
      </c>
      <c r="G908" s="2" t="inlineStr">
        <is>
          <t>span</t>
        </is>
      </c>
      <c r="H908" s="2" t="inlineStr">
        <is>
          <t>1억원</t>
        </is>
      </c>
      <c r="I908" s="2" t="inlineStr"/>
      <c r="J908" s="2" t="inlineStr">
        <is>
          <t>국가법령정보센터 Open API (www.law.go.kr) — 은행법 (시행 20260701)</t>
        </is>
      </c>
      <c r="K908" s="2" t="inlineStr">
        <is>
          <t>제69조</t>
        </is>
      </c>
      <c r="L908" s="2" t="inlineStr">
        <is>
          <t>제69조(과태료)
① 다음 각 호의 어느 하나에 해당하는 자에게는 1억원 이하의 과태료를 부과한다. 
1. 제13조제2항 또는 제27조의2제2항 또는 제28조제2항을 위반하여 신고하지 아니한 자
2. 제14조를 위반하여 유사상호를 사용한 자
3. 제15조제2항 및 제15조의4를 위반하여 보고를 하지 아니한 자
4. 제15조의3제3항(제15조제3항에 따른 승</t>
        </is>
      </c>
    </row>
    <row r="909">
      <c r="A909" s="2" t="inlineStr">
        <is>
          <t>REG-0908</t>
        </is>
      </c>
      <c r="B909" s="2" t="inlineStr">
        <is>
          <t>규정형</t>
        </is>
      </c>
      <c r="C909" s="2" t="inlineStr">
        <is>
          <t>펀드</t>
        </is>
      </c>
      <c r="D909" s="2" t="inlineStr">
        <is>
          <t>자본시장과 금융투자업에 관한 법률</t>
        </is>
      </c>
      <c r="E909" s="2" t="inlineStr">
        <is>
          <t>penalty_amount</t>
        </is>
      </c>
      <c r="F909" s="2" t="inlineStr">
        <is>
          <t>「자본시장과 금융투자업에 관한 법률」 제444조(벌칙)에 따르면 징역은 최대 몇 년까지인가?</t>
        </is>
      </c>
      <c r="G909" s="2" t="inlineStr">
        <is>
          <t>numeric</t>
        </is>
      </c>
      <c r="H909" s="2" t="inlineStr">
        <is>
          <t>5</t>
        </is>
      </c>
      <c r="I909" s="2" t="inlineStr">
        <is>
          <t>년</t>
        </is>
      </c>
      <c r="J909" s="2" t="inlineStr">
        <is>
          <t>국가법령정보센터 Open API (www.law.go.kr) — 자본시장과 금융투자업에 관한 법률 (시행 20260203)</t>
        </is>
      </c>
      <c r="K909" s="2" t="inlineStr">
        <is>
          <t>제444조</t>
        </is>
      </c>
      <c r="L909" s="2" t="inlineStr">
        <is>
          <t>제444조(벌칙) 다음 각 호의 어느 하나에 해당하는 자는 5년 이하의 징역 또는 2억원 이하의 벌금에 처한다. 
1. 제11조를 위반하여 금융투자업인가(변경인가를 포함한다)를 받지 아니하고 금융투자업(투자자문업, 투자일임업 및 일반 사모집합투자업은 제외한다)을 영위한 자
1의2. 제11조의2를 위반하여 계좌 대여를 알선하거나 중개한 자
1의3. 제16조의</t>
        </is>
      </c>
    </row>
    <row r="910">
      <c r="A910" s="2" t="inlineStr">
        <is>
          <t>REG-0909</t>
        </is>
      </c>
      <c r="B910" s="2" t="inlineStr">
        <is>
          <t>규정형</t>
        </is>
      </c>
      <c r="C910" s="2" t="inlineStr">
        <is>
          <t>펀드</t>
        </is>
      </c>
      <c r="D910" s="2" t="inlineStr">
        <is>
          <t>자본시장과 금융투자업에 관한 법률</t>
        </is>
      </c>
      <c r="E910" s="2" t="inlineStr">
        <is>
          <t>penalty_amount</t>
        </is>
      </c>
      <c r="F910" s="2" t="inlineStr">
        <is>
          <t>「자본시장과 금융투자업에 관한 법률」 제444조(벌칙)의 벌금 상한 금액은?</t>
        </is>
      </c>
      <c r="G910" s="2" t="inlineStr">
        <is>
          <t>span</t>
        </is>
      </c>
      <c r="H910" s="2" t="inlineStr">
        <is>
          <t>2억원</t>
        </is>
      </c>
      <c r="I910" s="2" t="inlineStr"/>
      <c r="J910" s="2" t="inlineStr">
        <is>
          <t>국가법령정보센터 Open API (www.law.go.kr) — 자본시장과 금융투자업에 관한 법률 (시행 20260203)</t>
        </is>
      </c>
      <c r="K910" s="2" t="inlineStr">
        <is>
          <t>제444조</t>
        </is>
      </c>
      <c r="L910" s="2" t="inlineStr">
        <is>
          <t>제444조(벌칙) 다음 각 호의 어느 하나에 해당하는 자는 5년 이하의 징역 또는 2억원 이하의 벌금에 처한다. 
1. 제11조를 위반하여 금융투자업인가(변경인가를 포함한다)를 받지 아니하고 금융투자업(투자자문업, 투자일임업 및 일반 사모집합투자업은 제외한다)을 영위한 자
1의2. 제11조의2를 위반하여 계좌 대여를 알선하거나 중개한 자
1의3. 제16조의</t>
        </is>
      </c>
    </row>
    <row r="911">
      <c r="A911" s="2" t="inlineStr">
        <is>
          <t>REG-0910</t>
        </is>
      </c>
      <c r="B911" s="2" t="inlineStr">
        <is>
          <t>규정형</t>
        </is>
      </c>
      <c r="C911" s="2" t="inlineStr">
        <is>
          <t>펀드</t>
        </is>
      </c>
      <c r="D911" s="2" t="inlineStr">
        <is>
          <t>자본시장과 금융투자업에 관한 법률</t>
        </is>
      </c>
      <c r="E911" s="2" t="inlineStr">
        <is>
          <t>penalty_amount</t>
        </is>
      </c>
      <c r="F911" s="2" t="inlineStr">
        <is>
          <t>「자본시장과 금융투자업에 관한 법률」 제445조(벌칙)의 징역형 상한은 몇 년인가?</t>
        </is>
      </c>
      <c r="G911" s="2" t="inlineStr">
        <is>
          <t>numeric</t>
        </is>
      </c>
      <c r="H911" s="2" t="inlineStr">
        <is>
          <t>3</t>
        </is>
      </c>
      <c r="I911" s="2" t="inlineStr">
        <is>
          <t>년</t>
        </is>
      </c>
      <c r="J911" s="2" t="inlineStr">
        <is>
          <t>국가법령정보센터 Open API (www.law.go.kr) — 자본시장과 금융투자업에 관한 법률 (시행 20260203)</t>
        </is>
      </c>
      <c r="K911" s="2" t="inlineStr">
        <is>
          <t>제445조</t>
        </is>
      </c>
      <c r="L911" s="2" t="inlineStr">
        <is>
          <t>제445조(벌칙) 다음 각 호의 어느 하나에 해당하는 자는 3년 이하의 징역 또는 1억원 이하의 벌금에 처한다. 
1. 제17조를 위반하여 금융투자업등록(변경등록을 포함한다)을 하지 아니하고 투자자문업 또는 투자일임업을 영위한 자
2. 거짓, 그 밖의 부정한 방법으로 제18조에 따른 금융투자업등록(변경등록을 포함한다)을 한 자
3. 제39조를 위반하여 자기</t>
        </is>
      </c>
    </row>
    <row r="912">
      <c r="A912" s="2" t="inlineStr">
        <is>
          <t>REG-0911</t>
        </is>
      </c>
      <c r="B912" s="2" t="inlineStr">
        <is>
          <t>규정형</t>
        </is>
      </c>
      <c r="C912" s="2" t="inlineStr">
        <is>
          <t>펀드</t>
        </is>
      </c>
      <c r="D912" s="2" t="inlineStr">
        <is>
          <t>자본시장과 금융투자업에 관한 법률</t>
        </is>
      </c>
      <c r="E912" s="2" t="inlineStr">
        <is>
          <t>penalty_amount</t>
        </is>
      </c>
      <c r="F912" s="2" t="inlineStr">
        <is>
          <t>「자본시장과 금융투자업에 관한 법률」 제445조(벌칙)에 따르면 벌금은 최대 얼마까지인가?</t>
        </is>
      </c>
      <c r="G912" s="2" t="inlineStr">
        <is>
          <t>span</t>
        </is>
      </c>
      <c r="H912" s="2" t="inlineStr">
        <is>
          <t>1억원</t>
        </is>
      </c>
      <c r="I912" s="2" t="inlineStr"/>
      <c r="J912" s="2" t="inlineStr">
        <is>
          <t>국가법령정보센터 Open API (www.law.go.kr) — 자본시장과 금융투자업에 관한 법률 (시행 20260203)</t>
        </is>
      </c>
      <c r="K912" s="2" t="inlineStr">
        <is>
          <t>제445조</t>
        </is>
      </c>
      <c r="L912" s="2" t="inlineStr">
        <is>
          <t>제445조(벌칙) 다음 각 호의 어느 하나에 해당하는 자는 3년 이하의 징역 또는 1억원 이하의 벌금에 처한다. 
1. 제17조를 위반하여 금융투자업등록(변경등록을 포함한다)을 하지 아니하고 투자자문업 또는 투자일임업을 영위한 자
2. 거짓, 그 밖의 부정한 방법으로 제18조에 따른 금융투자업등록(변경등록을 포함한다)을 한 자
3. 제39조를 위반하여 자기</t>
        </is>
      </c>
    </row>
    <row r="913">
      <c r="A913" s="2" t="inlineStr">
        <is>
          <t>REG-0912</t>
        </is>
      </c>
      <c r="B913" s="2" t="inlineStr">
        <is>
          <t>규정형</t>
        </is>
      </c>
      <c r="C913" s="2" t="inlineStr">
        <is>
          <t>펀드</t>
        </is>
      </c>
      <c r="D913" s="2" t="inlineStr">
        <is>
          <t>자본시장과 금융투자업에 관한 법률</t>
        </is>
      </c>
      <c r="E913" s="2" t="inlineStr">
        <is>
          <t>penalty_amount</t>
        </is>
      </c>
      <c r="F913" s="2" t="inlineStr">
        <is>
          <t>「자본시장과 금융투자업에 관한 법률」 제446조(벌칙)에서 정한 징역형의 최고 상한은 몇 년인가?</t>
        </is>
      </c>
      <c r="G913" s="2" t="inlineStr">
        <is>
          <t>numeric</t>
        </is>
      </c>
      <c r="H913" s="2" t="inlineStr">
        <is>
          <t>1</t>
        </is>
      </c>
      <c r="I913" s="2" t="inlineStr">
        <is>
          <t>년</t>
        </is>
      </c>
      <c r="J913" s="2" t="inlineStr">
        <is>
          <t>국가법령정보센터 Open API (www.law.go.kr) — 자본시장과 금융투자업에 관한 법률 (시행 20260203)</t>
        </is>
      </c>
      <c r="K913" s="2" t="inlineStr">
        <is>
          <t>제446조</t>
        </is>
      </c>
      <c r="L913" s="2" t="inlineStr">
        <is>
          <t>제446조(벌칙) 다음 각 호의 어느 하나에 해당하는 자는 1년 이하의 징역 또는 3천만원 이하의 벌금에 처한다. 
1. 삭제
2. 삭제
3. 제38조를 위반하여 상호 중에 금융투자, 증권, 파생, 선물, 집합투자, 투자신탁, 자산운용, 투자자문, 투자일임 또는 신탁이라는 문자를 사용한 자
4. 제42조제1항 단서(제255조에서 준용하는 경우를 포함한다)를</t>
        </is>
      </c>
    </row>
    <row r="914">
      <c r="A914" s="2" t="inlineStr">
        <is>
          <t>REG-0913</t>
        </is>
      </c>
      <c r="B914" s="2" t="inlineStr">
        <is>
          <t>규정형</t>
        </is>
      </c>
      <c r="C914" s="2" t="inlineStr">
        <is>
          <t>펀드</t>
        </is>
      </c>
      <c r="D914" s="2" t="inlineStr">
        <is>
          <t>자본시장과 금융투자업에 관한 법률</t>
        </is>
      </c>
      <c r="E914" s="2" t="inlineStr">
        <is>
          <t>penalty_amount</t>
        </is>
      </c>
      <c r="F914" s="2" t="inlineStr">
        <is>
          <t>「자본시장과 금융투자업에 관한 법률」 제446조(벌칙)의 벌금 상한 금액은?</t>
        </is>
      </c>
      <c r="G914" s="2" t="inlineStr">
        <is>
          <t>span</t>
        </is>
      </c>
      <c r="H914" s="2" t="inlineStr">
        <is>
          <t>3천만원</t>
        </is>
      </c>
      <c r="I914" s="2" t="inlineStr"/>
      <c r="J914" s="2" t="inlineStr">
        <is>
          <t>국가법령정보센터 Open API (www.law.go.kr) — 자본시장과 금융투자업에 관한 법률 (시행 20260203)</t>
        </is>
      </c>
      <c r="K914" s="2" t="inlineStr">
        <is>
          <t>제446조</t>
        </is>
      </c>
      <c r="L914" s="2" t="inlineStr">
        <is>
          <t>제446조(벌칙) 다음 각 호의 어느 하나에 해당하는 자는 1년 이하의 징역 또는 3천만원 이하의 벌금에 처한다. 
1. 삭제
2. 삭제
3. 제38조를 위반하여 상호 중에 금융투자, 증권, 파생, 선물, 집합투자, 투자신탁, 자산운용, 투자자문, 투자일임 또는 신탁이라는 문자를 사용한 자
4. 제42조제1항 단서(제255조에서 준용하는 경우를 포함한다)를</t>
        </is>
      </c>
    </row>
    <row r="915">
      <c r="A915" s="2" t="inlineStr">
        <is>
          <t>REG-0914</t>
        </is>
      </c>
      <c r="B915" s="2" t="inlineStr">
        <is>
          <t>규정형</t>
        </is>
      </c>
      <c r="C915" s="2" t="inlineStr">
        <is>
          <t>펀드</t>
        </is>
      </c>
      <c r="D915" s="2" t="inlineStr">
        <is>
          <t>자본시장과 금융투자업에 관한 법률</t>
        </is>
      </c>
      <c r="E915" s="2" t="inlineStr">
        <is>
          <t>penalty_amount</t>
        </is>
      </c>
      <c r="F915" s="2" t="inlineStr">
        <is>
          <t>「자본시장과 금융투자업에 관한 법률」 제449조(과태료)에 따르면 과태료는 최대 얼마까지인가?</t>
        </is>
      </c>
      <c r="G915" s="2" t="inlineStr">
        <is>
          <t>span</t>
        </is>
      </c>
      <c r="H915" s="2" t="inlineStr">
        <is>
          <t>1억원</t>
        </is>
      </c>
      <c r="I915" s="2" t="inlineStr"/>
      <c r="J915" s="2" t="inlineStr">
        <is>
          <t>국가법령정보센터 Open API (www.law.go.kr) — 자본시장과 금융투자업에 관한 법률 (시행 20260203)</t>
        </is>
      </c>
      <c r="K915" s="2" t="inlineStr">
        <is>
          <t>제449조</t>
        </is>
      </c>
      <c r="L915" s="2" t="inlineStr">
        <is>
          <t>제449조(과태료)
① 다음 각 호의 어느 하나에 해당하는 자에 대하여는 1억원 이하의 과태료를 부과한다. 
1. 삭제
2. 삭제
3. 삭제
4. 삭제
5. 삭제
6. 삭제
7. 삭제
8. 삭제
9. 삭제
10. 삭제
11. 삭제
12. 삭제
13. 제33조제1항(제335조의14, 제350조, 제357조제2항 또는 제361조에서 준용하는 경우를 포함한다)을</t>
        </is>
      </c>
    </row>
    <row r="916">
      <c r="A916" s="2" t="inlineStr">
        <is>
          <t>REG-0915</t>
        </is>
      </c>
      <c r="B916" s="2" t="inlineStr">
        <is>
          <t>규정형</t>
        </is>
      </c>
      <c r="C916" s="2" t="inlineStr">
        <is>
          <t>예금</t>
        </is>
      </c>
      <c r="D916" s="2" t="inlineStr">
        <is>
          <t>예금자보호법</t>
        </is>
      </c>
      <c r="E916" s="2" t="inlineStr">
        <is>
          <t>penalty_amount</t>
        </is>
      </c>
      <c r="F916" s="2" t="inlineStr">
        <is>
          <t>「예금자보호법」 제39조의4(벌칙)의 징역형 상한은 몇 년인가?</t>
        </is>
      </c>
      <c r="G916" s="2" t="inlineStr">
        <is>
          <t>numeric</t>
        </is>
      </c>
      <c r="H916" s="2" t="inlineStr">
        <is>
          <t>5</t>
        </is>
      </c>
      <c r="I916" s="2" t="inlineStr">
        <is>
          <t>년</t>
        </is>
      </c>
      <c r="J916" s="2" t="inlineStr">
        <is>
          <t>국가법령정보센터 Open API (www.law.go.kr) — 예금자보호법 (시행 20260102)</t>
        </is>
      </c>
      <c r="K916" s="2" t="inlineStr">
        <is>
          <t>제39조의4</t>
        </is>
      </c>
      <c r="L916" s="2" t="inlineStr">
        <is>
          <t xml:space="preserve">제39조의4(벌칙) 제21조의4에 따라 알게 된 금융거래정보등을 그 목적 외의 용도로 이용한 자는 5년 이하의 징역 또는 5천만원 이하의 벌금에 처한다. </t>
        </is>
      </c>
    </row>
    <row r="917">
      <c r="A917" s="2" t="inlineStr">
        <is>
          <t>REG-0916</t>
        </is>
      </c>
      <c r="B917" s="2" t="inlineStr">
        <is>
          <t>규정형</t>
        </is>
      </c>
      <c r="C917" s="2" t="inlineStr">
        <is>
          <t>예금</t>
        </is>
      </c>
      <c r="D917" s="2" t="inlineStr">
        <is>
          <t>예금자보호법</t>
        </is>
      </c>
      <c r="E917" s="2" t="inlineStr">
        <is>
          <t>penalty_amount</t>
        </is>
      </c>
      <c r="F917" s="2" t="inlineStr">
        <is>
          <t>「예금자보호법」 제39조의4(벌칙)의 벌금 상한 금액은?</t>
        </is>
      </c>
      <c r="G917" s="2" t="inlineStr">
        <is>
          <t>span</t>
        </is>
      </c>
      <c r="H917" s="2" t="inlineStr">
        <is>
          <t>5천만원</t>
        </is>
      </c>
      <c r="I917" s="2" t="inlineStr"/>
      <c r="J917" s="2" t="inlineStr">
        <is>
          <t>국가법령정보센터 Open API (www.law.go.kr) — 예금자보호법 (시행 20260102)</t>
        </is>
      </c>
      <c r="K917" s="2" t="inlineStr">
        <is>
          <t>제39조의4</t>
        </is>
      </c>
      <c r="L917" s="2" t="inlineStr">
        <is>
          <t xml:space="preserve">제39조의4(벌칙) 제21조의4에 따라 알게 된 금융거래정보등을 그 목적 외의 용도로 이용한 자는 5년 이하의 징역 또는 5천만원 이하의 벌금에 처한다. </t>
        </is>
      </c>
    </row>
    <row r="918">
      <c r="A918" s="2" t="inlineStr">
        <is>
          <t>REG-0917</t>
        </is>
      </c>
      <c r="B918" s="2" t="inlineStr">
        <is>
          <t>규정형</t>
        </is>
      </c>
      <c r="C918" s="2" t="inlineStr">
        <is>
          <t>예금</t>
        </is>
      </c>
      <c r="D918" s="2" t="inlineStr">
        <is>
          <t>예금자보호법</t>
        </is>
      </c>
      <c r="E918" s="2" t="inlineStr">
        <is>
          <t>penalty_amount</t>
        </is>
      </c>
      <c r="F918" s="2" t="inlineStr">
        <is>
          <t>「예금자보호법」 제40조(벌칙)에 따르면 징역은 최대 몇 년까지인가?</t>
        </is>
      </c>
      <c r="G918" s="2" t="inlineStr">
        <is>
          <t>numeric</t>
        </is>
      </c>
      <c r="H918" s="2" t="inlineStr">
        <is>
          <t>2</t>
        </is>
      </c>
      <c r="I918" s="2" t="inlineStr">
        <is>
          <t>년</t>
        </is>
      </c>
      <c r="J918" s="2" t="inlineStr">
        <is>
          <t>국가법령정보센터 Open API (www.law.go.kr) — 예금자보호법 (시행 20260102)</t>
        </is>
      </c>
      <c r="K918" s="2" t="inlineStr">
        <is>
          <t>제40조</t>
        </is>
      </c>
      <c r="L918" s="2" t="inlineStr">
        <is>
          <t>제40조(벌칙) 다음 각 호의 어느 하나에 해당하는 자는 2년 이하의 징역 또는 2천만원 이하의 벌금에 처한다.
1. 제17조를 위반하여 비밀을 누설한 자
2. 제30조의2를 위반하여 부보금융회사별로 다르게 책정된 보험료에 관한 내용을 광고에 활용하거나 공개 또는 누설한 자</t>
        </is>
      </c>
    </row>
    <row r="919">
      <c r="A919" s="2" t="inlineStr">
        <is>
          <t>REG-0918</t>
        </is>
      </c>
      <c r="B919" s="2" t="inlineStr">
        <is>
          <t>규정형</t>
        </is>
      </c>
      <c r="C919" s="2" t="inlineStr">
        <is>
          <t>예금</t>
        </is>
      </c>
      <c r="D919" s="2" t="inlineStr">
        <is>
          <t>예금자보호법</t>
        </is>
      </c>
      <c r="E919" s="2" t="inlineStr">
        <is>
          <t>penalty_amount</t>
        </is>
      </c>
      <c r="F919" s="2" t="inlineStr">
        <is>
          <t>「예금자보호법」 제40조(벌칙)에서 정한 벌금의 최고 상한은 얼마인가?</t>
        </is>
      </c>
      <c r="G919" s="2" t="inlineStr">
        <is>
          <t>span</t>
        </is>
      </c>
      <c r="H919" s="2" t="inlineStr">
        <is>
          <t>2천만원</t>
        </is>
      </c>
      <c r="I919" s="2" t="inlineStr"/>
      <c r="J919" s="2" t="inlineStr">
        <is>
          <t>국가법령정보센터 Open API (www.law.go.kr) — 예금자보호법 (시행 20260102)</t>
        </is>
      </c>
      <c r="K919" s="2" t="inlineStr">
        <is>
          <t>제40조</t>
        </is>
      </c>
      <c r="L919" s="2" t="inlineStr">
        <is>
          <t>제40조(벌칙) 다음 각 호의 어느 하나에 해당하는 자는 2년 이하의 징역 또는 2천만원 이하의 벌금에 처한다.
1. 제17조를 위반하여 비밀을 누설한 자
2. 제30조의2를 위반하여 부보금융회사별로 다르게 책정된 보험료에 관한 내용을 광고에 활용하거나 공개 또는 누설한 자</t>
        </is>
      </c>
    </row>
    <row r="920">
      <c r="A920" s="2" t="inlineStr">
        <is>
          <t>REG-0919</t>
        </is>
      </c>
      <c r="B920" s="2" t="inlineStr">
        <is>
          <t>규정형</t>
        </is>
      </c>
      <c r="C920" s="2" t="inlineStr">
        <is>
          <t>예금</t>
        </is>
      </c>
      <c r="D920" s="2" t="inlineStr">
        <is>
          <t>예금자보호법</t>
        </is>
      </c>
      <c r="E920" s="2" t="inlineStr">
        <is>
          <t>penalty_amount</t>
        </is>
      </c>
      <c r="F920" s="2" t="inlineStr">
        <is>
          <t>「예금자보호법」 제41조(벌칙)에서 정한 징역형의 최고 상한은 몇 년인가?</t>
        </is>
      </c>
      <c r="G920" s="2" t="inlineStr">
        <is>
          <t>numeric</t>
        </is>
      </c>
      <c r="H920" s="2" t="inlineStr">
        <is>
          <t>1</t>
        </is>
      </c>
      <c r="I920" s="2" t="inlineStr">
        <is>
          <t>년</t>
        </is>
      </c>
      <c r="J920" s="2" t="inlineStr">
        <is>
          <t>국가법령정보센터 Open API (www.law.go.kr) — 예금자보호법 (시행 20260102)</t>
        </is>
      </c>
      <c r="K920" s="2" t="inlineStr">
        <is>
          <t>제41조</t>
        </is>
      </c>
      <c r="L920" s="2" t="inlineStr">
        <is>
          <t>제41조(벌칙) 다음 각 호의 어느 하나에 해당하는 자는 1년 이하의 징역 또는 1천만원 이하의 벌금에 처한다.
1. 제21조제1항, 제21조의2제8항 후단 또는 제21조의4를 위반하여 자료를 제출하지 아니하거나 거짓 자료를 제출한 자
2. 제21조제2항 또는 제21조의2제7항(이해관계인 부분은 제외한다)에 따른 조사를 거부ㆍ방해 또는 기피한 자</t>
        </is>
      </c>
    </row>
    <row r="921">
      <c r="A921" s="2" t="inlineStr">
        <is>
          <t>REG-0920</t>
        </is>
      </c>
      <c r="B921" s="2" t="inlineStr">
        <is>
          <t>규정형</t>
        </is>
      </c>
      <c r="C921" s="2" t="inlineStr">
        <is>
          <t>예금</t>
        </is>
      </c>
      <c r="D921" s="2" t="inlineStr">
        <is>
          <t>예금자보호법</t>
        </is>
      </c>
      <c r="E921" s="2" t="inlineStr">
        <is>
          <t>penalty_amount</t>
        </is>
      </c>
      <c r="F921" s="2" t="inlineStr">
        <is>
          <t>「예금자보호법」 제41조(벌칙)에 따르면 벌금은 최대 얼마까지인가?</t>
        </is>
      </c>
      <c r="G921" s="2" t="inlineStr">
        <is>
          <t>span</t>
        </is>
      </c>
      <c r="H921" s="2" t="inlineStr">
        <is>
          <t>1천만원</t>
        </is>
      </c>
      <c r="I921" s="2" t="inlineStr"/>
      <c r="J921" s="2" t="inlineStr">
        <is>
          <t>국가법령정보센터 Open API (www.law.go.kr) — 예금자보호법 (시행 20260102)</t>
        </is>
      </c>
      <c r="K921" s="2" t="inlineStr">
        <is>
          <t>제41조</t>
        </is>
      </c>
      <c r="L921" s="2" t="inlineStr">
        <is>
          <t>제41조(벌칙) 다음 각 호의 어느 하나에 해당하는 자는 1년 이하의 징역 또는 1천만원 이하의 벌금에 처한다.
1. 제21조제1항, 제21조의2제8항 후단 또는 제21조의4를 위반하여 자료를 제출하지 아니하거나 거짓 자료를 제출한 자
2. 제21조제2항 또는 제21조의2제7항(이해관계인 부분은 제외한다)에 따른 조사를 거부ㆍ방해 또는 기피한 자</t>
        </is>
      </c>
    </row>
    <row r="922">
      <c r="A922" s="2" t="inlineStr">
        <is>
          <t>REG-0921</t>
        </is>
      </c>
      <c r="B922" s="2" t="inlineStr">
        <is>
          <t>규정형</t>
        </is>
      </c>
      <c r="C922" s="2" t="inlineStr">
        <is>
          <t>공통</t>
        </is>
      </c>
      <c r="D922" s="2" t="inlineStr">
        <is>
          <t>금융소비자 보호에 관한 법률</t>
        </is>
      </c>
      <c r="E922" s="2" t="inlineStr">
        <is>
          <t>penalty_amount</t>
        </is>
      </c>
      <c r="F922" s="2" t="inlineStr">
        <is>
          <t>「금융소비자 보호에 관한 법률」 제67조(벌칙)에서 정한 징역형의 최고 상한은 몇 년인가?</t>
        </is>
      </c>
      <c r="G922" s="2" t="inlineStr">
        <is>
          <t>numeric</t>
        </is>
      </c>
      <c r="H922" s="2" t="inlineStr">
        <is>
          <t>5</t>
        </is>
      </c>
      <c r="I922" s="2" t="inlineStr">
        <is>
          <t>년</t>
        </is>
      </c>
      <c r="J922" s="2" t="inlineStr">
        <is>
          <t>국가법령정보센터 Open API (www.law.go.kr) — 금융소비자 보호에 관한 법률 (시행 20260102)</t>
        </is>
      </c>
      <c r="K922" s="2" t="inlineStr">
        <is>
          <t>제67조</t>
        </is>
      </c>
      <c r="L922" s="2" t="inlineStr">
        <is>
          <t xml:space="preserve">제67조(벌칙) 다음 각 호의 어느 하나에 해당하는 자는 5년 이하의 징역 또는 2억원 이하의 벌금에 처한다.
1. 제12조를 위반하여 금융상품판매업등의 등록을 하지 아니하고 금융상품판매업등을 영위한 자
2. 거짓이나 그 밖의 부정한 방법으로 제12조에 따른 등록을 한 자
3. 제24조를 위반하여 금융상품판매대리ㆍ중개업자가 아닌 자에게 금융상품계약체결등을 </t>
        </is>
      </c>
    </row>
    <row r="923">
      <c r="A923" s="2" t="inlineStr">
        <is>
          <t>REG-0922</t>
        </is>
      </c>
      <c r="B923" s="2" t="inlineStr">
        <is>
          <t>규정형</t>
        </is>
      </c>
      <c r="C923" s="2" t="inlineStr">
        <is>
          <t>공통</t>
        </is>
      </c>
      <c r="D923" s="2" t="inlineStr">
        <is>
          <t>금융소비자 보호에 관한 법률</t>
        </is>
      </c>
      <c r="E923" s="2" t="inlineStr">
        <is>
          <t>penalty_amount</t>
        </is>
      </c>
      <c r="F923" s="2" t="inlineStr">
        <is>
          <t>「금융소비자 보호에 관한 법률」 제67조(벌칙)에 따르면 벌금은 최대 얼마까지인가?</t>
        </is>
      </c>
      <c r="G923" s="2" t="inlineStr">
        <is>
          <t>span</t>
        </is>
      </c>
      <c r="H923" s="2" t="inlineStr">
        <is>
          <t>2억원</t>
        </is>
      </c>
      <c r="I923" s="2" t="inlineStr"/>
      <c r="J923" s="2" t="inlineStr">
        <is>
          <t>국가법령정보센터 Open API (www.law.go.kr) — 금융소비자 보호에 관한 법률 (시행 20260102)</t>
        </is>
      </c>
      <c r="K923" s="2" t="inlineStr">
        <is>
          <t>제67조</t>
        </is>
      </c>
      <c r="L923" s="2" t="inlineStr">
        <is>
          <t xml:space="preserve">제67조(벌칙) 다음 각 호의 어느 하나에 해당하는 자는 5년 이하의 징역 또는 2억원 이하의 벌금에 처한다.
1. 제12조를 위반하여 금융상품판매업등의 등록을 하지 아니하고 금융상품판매업등을 영위한 자
2. 거짓이나 그 밖의 부정한 방법으로 제12조에 따른 등록을 한 자
3. 제24조를 위반하여 금융상품판매대리ㆍ중개업자가 아닌 자에게 금융상품계약체결등을 </t>
        </is>
      </c>
    </row>
    <row r="924">
      <c r="A924" s="2" t="inlineStr">
        <is>
          <t>REG-0923</t>
        </is>
      </c>
      <c r="B924" s="2" t="inlineStr">
        <is>
          <t>규정형</t>
        </is>
      </c>
      <c r="C924" s="2" t="inlineStr">
        <is>
          <t>공통</t>
        </is>
      </c>
      <c r="D924" s="2" t="inlineStr">
        <is>
          <t>금융소비자 보호에 관한 법률</t>
        </is>
      </c>
      <c r="E924" s="2" t="inlineStr">
        <is>
          <t>penalty_amount</t>
        </is>
      </c>
      <c r="F924" s="2" t="inlineStr">
        <is>
          <t>「금융소비자 보호에 관한 법률」 제67조의2(벌칙)에 따르면 벌금은 최대 얼마까지인가?</t>
        </is>
      </c>
      <c r="G924" s="2" t="inlineStr">
        <is>
          <t>span</t>
        </is>
      </c>
      <c r="H924" s="2" t="inlineStr">
        <is>
          <t>1천만원</t>
        </is>
      </c>
      <c r="I924" s="2" t="inlineStr"/>
      <c r="J924" s="2" t="inlineStr">
        <is>
          <t>국가법령정보센터 Open API (www.law.go.kr) — 금융소비자 보호에 관한 법률 (시행 20260102)</t>
        </is>
      </c>
      <c r="K924" s="2" t="inlineStr">
        <is>
          <t>제67조의2</t>
        </is>
      </c>
      <c r="L924" s="2" t="inlineStr">
        <is>
          <t>제67조의2(벌칙) 제16조의2제3항을 위반하여 성명 등을 거짓으로 밝힌 자는 1천만원 이하의 벌금에 처한다.</t>
        </is>
      </c>
    </row>
    <row r="925">
      <c r="A925" s="2" t="inlineStr">
        <is>
          <t>REG-0924</t>
        </is>
      </c>
      <c r="B925" s="2" t="inlineStr">
        <is>
          <t>규정형</t>
        </is>
      </c>
      <c r="C925" s="2" t="inlineStr">
        <is>
          <t>공통</t>
        </is>
      </c>
      <c r="D925" s="2" t="inlineStr">
        <is>
          <t>금융소비자 보호에 관한 법률</t>
        </is>
      </c>
      <c r="E925" s="2" t="inlineStr">
        <is>
          <t>penalty_amount</t>
        </is>
      </c>
      <c r="F925" s="2" t="inlineStr">
        <is>
          <t>「금융소비자 보호에 관한 법률」 제69조(과태료)의 과태료 상한 금액은?</t>
        </is>
      </c>
      <c r="G925" s="2" t="inlineStr">
        <is>
          <t>span</t>
        </is>
      </c>
      <c r="H925" s="2" t="inlineStr">
        <is>
          <t>1억원</t>
        </is>
      </c>
      <c r="I925" s="2" t="inlineStr"/>
      <c r="J925" s="2" t="inlineStr">
        <is>
          <t>국가법령정보센터 Open API (www.law.go.kr) — 금융소비자 보호에 관한 법률 (시행 20260102)</t>
        </is>
      </c>
      <c r="K925" s="2" t="inlineStr">
        <is>
          <t>제69조</t>
        </is>
      </c>
      <c r="L925" s="2" t="inlineStr">
        <is>
          <t xml:space="preserve">제69조(과태료)
① 다음 각 호의 어느 하나에 해당하는 자에게는 1억원 이하의 과태료를 부과한다.
1. 제16조제2항을 위반하여 내부통제기준을 마련하지 아니한 자
2. 제19조제1항을 위반하여 중요한 사항을 설명하지 아니하거나 같은 조 제2항을 위반하여 설명서를 제공하지 아니하거나 확인을 받지 아니한 자
3. 제20조제1항 각 호의 어느 하나에 해당하는 </t>
        </is>
      </c>
    </row>
    <row r="926">
      <c r="A926" s="2" t="inlineStr">
        <is>
          <t>REG-0925</t>
        </is>
      </c>
      <c r="B926" s="2" t="inlineStr">
        <is>
          <t>규정형</t>
        </is>
      </c>
      <c r="C926" s="2" t="inlineStr">
        <is>
          <t>외환</t>
        </is>
      </c>
      <c r="D926" s="2" t="inlineStr">
        <is>
          <t>외국환거래법</t>
        </is>
      </c>
      <c r="E926" s="2" t="inlineStr">
        <is>
          <t>penalty_amount</t>
        </is>
      </c>
      <c r="F926" s="2" t="inlineStr">
        <is>
          <t>「외국환거래법」 제27조(벌칙)에서 정한 징역형의 최고 상한은 몇 년인가?</t>
        </is>
      </c>
      <c r="G926" s="2" t="inlineStr">
        <is>
          <t>numeric</t>
        </is>
      </c>
      <c r="H926" s="2" t="inlineStr">
        <is>
          <t>5</t>
        </is>
      </c>
      <c r="I926" s="2" t="inlineStr">
        <is>
          <t>년</t>
        </is>
      </c>
      <c r="J926" s="2" t="inlineStr">
        <is>
          <t>국가법령정보센터 Open API (www.law.go.kr) — 외국환거래법 (시행 20260102)</t>
        </is>
      </c>
      <c r="K926" s="2" t="inlineStr">
        <is>
          <t>제27조</t>
        </is>
      </c>
      <c r="L926" s="2" t="inlineStr">
        <is>
          <t>제27조(벌칙)
① 다음 각 호의 어느 하나에 해당하는 자는 5년 이하의 징역 또는 5억원 이하의 벌금에 처한다. 다만, 위반행위의 목적물 가액(價額)의 3배가 5억원을 초과하는 경우에는 그 벌금을 목적물 가액의 3배 이하로 한다. 
1. 제5조제2항을 위반하여 기준환율등에 따르지 아니하고 거래한 자
2. 제6조제1항제1호의 조치를 위반하여 지급 또는 수령</t>
        </is>
      </c>
    </row>
    <row r="927">
      <c r="A927" s="2" t="inlineStr">
        <is>
          <t>REG-0926</t>
        </is>
      </c>
      <c r="B927" s="2" t="inlineStr">
        <is>
          <t>규정형</t>
        </is>
      </c>
      <c r="C927" s="2" t="inlineStr">
        <is>
          <t>외환</t>
        </is>
      </c>
      <c r="D927" s="2" t="inlineStr">
        <is>
          <t>외국환거래법</t>
        </is>
      </c>
      <c r="E927" s="2" t="inlineStr">
        <is>
          <t>penalty_amount</t>
        </is>
      </c>
      <c r="F927" s="2" t="inlineStr">
        <is>
          <t>「외국환거래법」 제27조(벌칙)에 따르면 벌금은 최대 얼마까지인가?</t>
        </is>
      </c>
      <c r="G927" s="2" t="inlineStr">
        <is>
          <t>span</t>
        </is>
      </c>
      <c r="H927" s="2" t="inlineStr">
        <is>
          <t>5억원</t>
        </is>
      </c>
      <c r="I927" s="2" t="inlineStr"/>
      <c r="J927" s="2" t="inlineStr">
        <is>
          <t>국가법령정보센터 Open API (www.law.go.kr) — 외국환거래법 (시행 20260102)</t>
        </is>
      </c>
      <c r="K927" s="2" t="inlineStr">
        <is>
          <t>제27조</t>
        </is>
      </c>
      <c r="L927" s="2" t="inlineStr">
        <is>
          <t>제27조(벌칙)
① 다음 각 호의 어느 하나에 해당하는 자는 5년 이하의 징역 또는 5억원 이하의 벌금에 처한다. 다만, 위반행위의 목적물 가액(價額)의 3배가 5억원을 초과하는 경우에는 그 벌금을 목적물 가액의 3배 이하로 한다. 
1. 제5조제2항을 위반하여 기준환율등에 따르지 아니하고 거래한 자
2. 제6조제1항제1호의 조치를 위반하여 지급 또는 수령</t>
        </is>
      </c>
    </row>
    <row r="928">
      <c r="A928" s="2" t="inlineStr">
        <is>
          <t>REG-0927</t>
        </is>
      </c>
      <c r="B928" s="2" t="inlineStr">
        <is>
          <t>규정형</t>
        </is>
      </c>
      <c r="C928" s="2" t="inlineStr">
        <is>
          <t>외환</t>
        </is>
      </c>
      <c r="D928" s="2" t="inlineStr">
        <is>
          <t>외국환거래법</t>
        </is>
      </c>
      <c r="E928" s="2" t="inlineStr">
        <is>
          <t>penalty_amount</t>
        </is>
      </c>
      <c r="F928" s="2" t="inlineStr">
        <is>
          <t>「외국환거래법」 제27조의2(벌칙)에 따르면 징역은 최대 몇 년까지인가?</t>
        </is>
      </c>
      <c r="G928" s="2" t="inlineStr">
        <is>
          <t>numeric</t>
        </is>
      </c>
      <c r="H928" s="2" t="inlineStr">
        <is>
          <t>3</t>
        </is>
      </c>
      <c r="I928" s="2" t="inlineStr">
        <is>
          <t>년</t>
        </is>
      </c>
      <c r="J928" s="2" t="inlineStr">
        <is>
          <t>국가법령정보센터 Open API (www.law.go.kr) — 외국환거래법 (시행 20260102)</t>
        </is>
      </c>
      <c r="K928" s="2" t="inlineStr">
        <is>
          <t>제27조의2</t>
        </is>
      </c>
      <c r="L928" s="2" t="inlineStr">
        <is>
          <t>제27조의2(벌칙)
① 다음 각 호의 어느 하나에 해당하는 자는 3년 이하의 징역 또는 3억원 이하의 벌금에 처한다. 다만, 위반행위의 목적물 가액의 3배가 3억원을 초과하는 경우에는 그 벌금을 목적물 가액의 3배 이하로 한다.
1. 제8조제1항 본문 또는 같은 조 제3항에 따른 등록을 하지 아니하거나, 거짓이나 그 밖의 부정한 방법으로 등록을 하고 외국환</t>
        </is>
      </c>
    </row>
    <row r="929">
      <c r="A929" s="2" t="inlineStr">
        <is>
          <t>REG-0928</t>
        </is>
      </c>
      <c r="B929" s="2" t="inlineStr">
        <is>
          <t>규정형</t>
        </is>
      </c>
      <c r="C929" s="2" t="inlineStr">
        <is>
          <t>외환</t>
        </is>
      </c>
      <c r="D929" s="2" t="inlineStr">
        <is>
          <t>외국환거래법</t>
        </is>
      </c>
      <c r="E929" s="2" t="inlineStr">
        <is>
          <t>penalty_amount</t>
        </is>
      </c>
      <c r="F929" s="2" t="inlineStr">
        <is>
          <t>「외국환거래법」 제27조의2(벌칙)의 벌금 상한 금액은?</t>
        </is>
      </c>
      <c r="G929" s="2" t="inlineStr">
        <is>
          <t>span</t>
        </is>
      </c>
      <c r="H929" s="2" t="inlineStr">
        <is>
          <t>3억원</t>
        </is>
      </c>
      <c r="I929" s="2" t="inlineStr"/>
      <c r="J929" s="2" t="inlineStr">
        <is>
          <t>국가법령정보센터 Open API (www.law.go.kr) — 외국환거래법 (시행 20260102)</t>
        </is>
      </c>
      <c r="K929" s="2" t="inlineStr">
        <is>
          <t>제27조의2</t>
        </is>
      </c>
      <c r="L929" s="2" t="inlineStr">
        <is>
          <t>제27조의2(벌칙)
① 다음 각 호의 어느 하나에 해당하는 자는 3년 이하의 징역 또는 3억원 이하의 벌금에 처한다. 다만, 위반행위의 목적물 가액의 3배가 3억원을 초과하는 경우에는 그 벌금을 목적물 가액의 3배 이하로 한다.
1. 제8조제1항 본문 또는 같은 조 제3항에 따른 등록을 하지 아니하거나, 거짓이나 그 밖의 부정한 방법으로 등록을 하고 외국환</t>
        </is>
      </c>
    </row>
    <row r="930">
      <c r="A930" s="2" t="inlineStr">
        <is>
          <t>REG-0929</t>
        </is>
      </c>
      <c r="B930" s="2" t="inlineStr">
        <is>
          <t>규정형</t>
        </is>
      </c>
      <c r="C930" s="2" t="inlineStr">
        <is>
          <t>외환</t>
        </is>
      </c>
      <c r="D930" s="2" t="inlineStr">
        <is>
          <t>외국환거래법</t>
        </is>
      </c>
      <c r="E930" s="2" t="inlineStr">
        <is>
          <t>penalty_amount</t>
        </is>
      </c>
      <c r="F930" s="2" t="inlineStr">
        <is>
          <t>「외국환거래법」 제28조(벌칙)에 따르면 징역은 최대 몇 년까지인가?</t>
        </is>
      </c>
      <c r="G930" s="2" t="inlineStr">
        <is>
          <t>numeric</t>
        </is>
      </c>
      <c r="H930" s="2" t="inlineStr">
        <is>
          <t>2</t>
        </is>
      </c>
      <c r="I930" s="2" t="inlineStr">
        <is>
          <t>년</t>
        </is>
      </c>
      <c r="J930" s="2" t="inlineStr">
        <is>
          <t>국가법령정보센터 Open API (www.law.go.kr) — 외국환거래법 (시행 20260102)</t>
        </is>
      </c>
      <c r="K930" s="2" t="inlineStr">
        <is>
          <t>제28조</t>
        </is>
      </c>
      <c r="L930" s="2" t="inlineStr">
        <is>
          <t>제28조(벌칙)
① 제22조를 위반하여 정보를 이 법에서 정하는 용도가 아닌 용도로 사용하거나 다른 사람에게 누설한 사람은 2년 이하의 징역 또는 2억원 이하의 벌금에 처한다.
② 제1항의 징역과 벌금은 병과할 수 있다.</t>
        </is>
      </c>
    </row>
    <row r="931">
      <c r="A931" s="2" t="inlineStr">
        <is>
          <t>REG-0930</t>
        </is>
      </c>
      <c r="B931" s="2" t="inlineStr">
        <is>
          <t>규정형</t>
        </is>
      </c>
      <c r="C931" s="2" t="inlineStr">
        <is>
          <t>외환</t>
        </is>
      </c>
      <c r="D931" s="2" t="inlineStr">
        <is>
          <t>외국환거래법</t>
        </is>
      </c>
      <c r="E931" s="2" t="inlineStr">
        <is>
          <t>penalty_amount</t>
        </is>
      </c>
      <c r="F931" s="2" t="inlineStr">
        <is>
          <t>「외국환거래법」 제28조(벌칙)에 따르면 벌금은 최대 얼마까지인가?</t>
        </is>
      </c>
      <c r="G931" s="2" t="inlineStr">
        <is>
          <t>span</t>
        </is>
      </c>
      <c r="H931" s="2" t="inlineStr">
        <is>
          <t>2억원</t>
        </is>
      </c>
      <c r="I931" s="2" t="inlineStr"/>
      <c r="J931" s="2" t="inlineStr">
        <is>
          <t>국가법령정보센터 Open API (www.law.go.kr) — 외국환거래법 (시행 20260102)</t>
        </is>
      </c>
      <c r="K931" s="2" t="inlineStr">
        <is>
          <t>제28조</t>
        </is>
      </c>
      <c r="L931" s="2" t="inlineStr">
        <is>
          <t>제28조(벌칙)
① 제22조를 위반하여 정보를 이 법에서 정하는 용도가 아닌 용도로 사용하거나 다른 사람에게 누설한 사람은 2년 이하의 징역 또는 2억원 이하의 벌금에 처한다.
② 제1항의 징역과 벌금은 병과할 수 있다.</t>
        </is>
      </c>
    </row>
    <row r="932">
      <c r="A932" s="2" t="inlineStr">
        <is>
          <t>REG-0931</t>
        </is>
      </c>
      <c r="B932" s="2" t="inlineStr">
        <is>
          <t>규정형</t>
        </is>
      </c>
      <c r="C932" s="2" t="inlineStr">
        <is>
          <t>외환</t>
        </is>
      </c>
      <c r="D932" s="2" t="inlineStr">
        <is>
          <t>외국환거래법</t>
        </is>
      </c>
      <c r="E932" s="2" t="inlineStr">
        <is>
          <t>penalty_amount</t>
        </is>
      </c>
      <c r="F932" s="2" t="inlineStr">
        <is>
          <t>「외국환거래법」 제29조(벌칙)에 따르면 징역은 최대 몇 년까지인가?</t>
        </is>
      </c>
      <c r="G932" s="2" t="inlineStr">
        <is>
          <t>numeric</t>
        </is>
      </c>
      <c r="H932" s="2" t="inlineStr">
        <is>
          <t>1</t>
        </is>
      </c>
      <c r="I932" s="2" t="inlineStr">
        <is>
          <t>년</t>
        </is>
      </c>
      <c r="J932" s="2" t="inlineStr">
        <is>
          <t>국가법령정보센터 Open API (www.law.go.kr) — 외국환거래법 (시행 20260102)</t>
        </is>
      </c>
      <c r="K932" s="2" t="inlineStr">
        <is>
          <t>제29조</t>
        </is>
      </c>
      <c r="L932" s="2" t="inlineStr">
        <is>
          <t>제29조(벌칙)
① 다음 각 호의 어느 하나에 해당하는 자는 1년 이하의 징역 또는 1억원 이하의 벌금에 처한다. 다만, 위반행위의 목적물 가액의 3배가 1억원을 초과하는 경우에는 그 벌금을 목적물 가액의 3배 이하로 한다. 
1. 제8조제5항에 따른 인가를 받지 아니하거나, 거짓이나 그 밖의 부정한 방법으로 인가를 받고 계약을 체결한 자
2. 제10조제1</t>
        </is>
      </c>
    </row>
    <row r="933">
      <c r="A933" s="2" t="inlineStr">
        <is>
          <t>REG-0932</t>
        </is>
      </c>
      <c r="B933" s="2" t="inlineStr">
        <is>
          <t>규정형</t>
        </is>
      </c>
      <c r="C933" s="2" t="inlineStr">
        <is>
          <t>외환</t>
        </is>
      </c>
      <c r="D933" s="2" t="inlineStr">
        <is>
          <t>외국환거래법</t>
        </is>
      </c>
      <c r="E933" s="2" t="inlineStr">
        <is>
          <t>penalty_amount</t>
        </is>
      </c>
      <c r="F933" s="2" t="inlineStr">
        <is>
          <t>「외국환거래법」 제29조(벌칙)의 벌금 상한 금액은?</t>
        </is>
      </c>
      <c r="G933" s="2" t="inlineStr">
        <is>
          <t>span</t>
        </is>
      </c>
      <c r="H933" s="2" t="inlineStr">
        <is>
          <t>1억원</t>
        </is>
      </c>
      <c r="I933" s="2" t="inlineStr"/>
      <c r="J933" s="2" t="inlineStr">
        <is>
          <t>국가법령정보센터 Open API (www.law.go.kr) — 외국환거래법 (시행 20260102)</t>
        </is>
      </c>
      <c r="K933" s="2" t="inlineStr">
        <is>
          <t>제29조</t>
        </is>
      </c>
      <c r="L933" s="2" t="inlineStr">
        <is>
          <t>제29조(벌칙)
① 다음 각 호의 어느 하나에 해당하는 자는 1년 이하의 징역 또는 1억원 이하의 벌금에 처한다. 다만, 위반행위의 목적물 가액의 3배가 1억원을 초과하는 경우에는 그 벌금을 목적물 가액의 3배 이하로 한다. 
1. 제8조제5항에 따른 인가를 받지 아니하거나, 거짓이나 그 밖의 부정한 방법으로 인가를 받고 계약을 체결한 자
2. 제10조제1</t>
        </is>
      </c>
    </row>
    <row r="934">
      <c r="A934" s="2" t="inlineStr">
        <is>
          <t>REG-0933</t>
        </is>
      </c>
      <c r="B934" s="2" t="inlineStr">
        <is>
          <t>규정형</t>
        </is>
      </c>
      <c r="C934" s="2" t="inlineStr">
        <is>
          <t>외환</t>
        </is>
      </c>
      <c r="D934" s="2" t="inlineStr">
        <is>
          <t>외국환거래법</t>
        </is>
      </c>
      <c r="E934" s="2" t="inlineStr">
        <is>
          <t>penalty_amount</t>
        </is>
      </c>
      <c r="F934" s="2" t="inlineStr">
        <is>
          <t>「외국환거래법」 제32조(과태료)에서 정한 과태료의 최고 상한은 얼마인가?</t>
        </is>
      </c>
      <c r="G934" s="2" t="inlineStr">
        <is>
          <t>span</t>
        </is>
      </c>
      <c r="H934" s="2" t="inlineStr">
        <is>
          <t>1억원</t>
        </is>
      </c>
      <c r="I934" s="2" t="inlineStr"/>
      <c r="J934" s="2" t="inlineStr">
        <is>
          <t>국가법령정보센터 Open API (www.law.go.kr) — 외국환거래법 (시행 20260102)</t>
        </is>
      </c>
      <c r="K934" s="2" t="inlineStr">
        <is>
          <t>제32조</t>
        </is>
      </c>
      <c r="L934" s="2" t="inlineStr">
        <is>
          <t>제32조(과태료)
① 다음 각 호의 어느 하나에 해당하는 자에게는 1억원 이하의 과태료를 부과한다. 다만, 제29조에 해당하는 경우는 제외한다. 
1. 제8조제4항에 따른 변경신고를 하지 아니하거나 거짓으로 변경신고를 하고 외국환업무를 한 자
2. 제9조제1항 후단에 따른 변경신고를 하지 아니하거나 거짓으로 변경신고를 하고 외국환중개업무를 한 자 또는 같은</t>
        </is>
      </c>
    </row>
    <row r="935">
      <c r="A935" s="2" t="inlineStr">
        <is>
          <t>REG-0934</t>
        </is>
      </c>
      <c r="B935" s="2" t="inlineStr">
        <is>
          <t>규정형</t>
        </is>
      </c>
      <c r="C935" s="2" t="inlineStr">
        <is>
          <t>퇴직연금</t>
        </is>
      </c>
      <c r="D935" s="2" t="inlineStr">
        <is>
          <t>근로자퇴직급여 보장법</t>
        </is>
      </c>
      <c r="E935" s="2" t="inlineStr">
        <is>
          <t>penalty_amount</t>
        </is>
      </c>
      <c r="F935" s="2" t="inlineStr">
        <is>
          <t>「근로자퇴직급여 보장법」 제43조(벌칙)에 따르면 징역은 최대 몇 년까지인가?</t>
        </is>
      </c>
      <c r="G935" s="2" t="inlineStr">
        <is>
          <t>numeric</t>
        </is>
      </c>
      <c r="H935" s="2" t="inlineStr">
        <is>
          <t>5</t>
        </is>
      </c>
      <c r="I935" s="2" t="inlineStr">
        <is>
          <t>년</t>
        </is>
      </c>
      <c r="J935" s="2" t="inlineStr">
        <is>
          <t>국가법령정보센터 Open API (www.law.go.kr) — 근로자퇴직급여 보장법 (시행 20260701)</t>
        </is>
      </c>
      <c r="K935" s="2" t="inlineStr">
        <is>
          <t>제43조</t>
        </is>
      </c>
      <c r="L935" s="2" t="inlineStr">
        <is>
          <t>제43조(벌칙) 다음 각 호의 어느 하나에 해당하는 자는 5년 이하의 징역 또는 5천만원 이하의 벌금에 처한다. 다만, 제1호 및 제2호의 경우(「근로기준법」 제43조의2에 따라 명단 공개된 체불사업주가 명단 공개 기간 중에 제1호 또는 제2호에 해당하는 경우는 제외한다) 피해자의 명시적인 의사에 반하여 공소를 제기할 수 없다. 
1. 제9조제1항을 위반하</t>
        </is>
      </c>
    </row>
    <row r="936">
      <c r="A936" s="2" t="inlineStr">
        <is>
          <t>REG-0935</t>
        </is>
      </c>
      <c r="B936" s="2" t="inlineStr">
        <is>
          <t>규정형</t>
        </is>
      </c>
      <c r="C936" s="2" t="inlineStr">
        <is>
          <t>퇴직연금</t>
        </is>
      </c>
      <c r="D936" s="2" t="inlineStr">
        <is>
          <t>근로자퇴직급여 보장법</t>
        </is>
      </c>
      <c r="E936" s="2" t="inlineStr">
        <is>
          <t>penalty_amount</t>
        </is>
      </c>
      <c r="F936" s="2" t="inlineStr">
        <is>
          <t>「근로자퇴직급여 보장법」 제43조(벌칙)에 따르면 벌금은 최대 얼마까지인가?</t>
        </is>
      </c>
      <c r="G936" s="2" t="inlineStr">
        <is>
          <t>span</t>
        </is>
      </c>
      <c r="H936" s="2" t="inlineStr">
        <is>
          <t>5천만원</t>
        </is>
      </c>
      <c r="I936" s="2" t="inlineStr"/>
      <c r="J936" s="2" t="inlineStr">
        <is>
          <t>국가법령정보센터 Open API (www.law.go.kr) — 근로자퇴직급여 보장법 (시행 20260701)</t>
        </is>
      </c>
      <c r="K936" s="2" t="inlineStr">
        <is>
          <t>제43조</t>
        </is>
      </c>
      <c r="L936" s="2" t="inlineStr">
        <is>
          <t>제43조(벌칙) 다음 각 호의 어느 하나에 해당하는 자는 5년 이하의 징역 또는 5천만원 이하의 벌금에 처한다. 다만, 제1호 및 제2호의 경우(「근로기준법」 제43조의2에 따라 명단 공개된 체불사업주가 명단 공개 기간 중에 제1호 또는 제2호에 해당하는 경우는 제외한다) 피해자의 명시적인 의사에 반하여 공소를 제기할 수 없다. 
1. 제9조제1항을 위반하</t>
        </is>
      </c>
    </row>
    <row r="937">
      <c r="A937" s="2" t="inlineStr">
        <is>
          <t>REG-0936</t>
        </is>
      </c>
      <c r="B937" s="2" t="inlineStr">
        <is>
          <t>규정형</t>
        </is>
      </c>
      <c r="C937" s="2" t="inlineStr">
        <is>
          <t>퇴직연금</t>
        </is>
      </c>
      <c r="D937" s="2" t="inlineStr">
        <is>
          <t>근로자퇴직급여 보장법</t>
        </is>
      </c>
      <c r="E937" s="2" t="inlineStr">
        <is>
          <t>penalty_amount</t>
        </is>
      </c>
      <c r="F937" s="2" t="inlineStr">
        <is>
          <t>「근로자퇴직급여 보장법」 제44조(벌칙)의 징역형 상한은 몇 년인가?</t>
        </is>
      </c>
      <c r="G937" s="2" t="inlineStr">
        <is>
          <t>numeric</t>
        </is>
      </c>
      <c r="H937" s="2" t="inlineStr">
        <is>
          <t>3</t>
        </is>
      </c>
      <c r="I937" s="2" t="inlineStr">
        <is>
          <t>년</t>
        </is>
      </c>
      <c r="J937" s="2" t="inlineStr">
        <is>
          <t>국가법령정보센터 Open API (www.law.go.kr) — 근로자퇴직급여 보장법 (시행 20260701)</t>
        </is>
      </c>
      <c r="K937" s="2" t="inlineStr">
        <is>
          <t>제44조</t>
        </is>
      </c>
      <c r="L937" s="2" t="inlineStr">
        <is>
          <t>제44조(벌칙) 다음 각 호의 어느 하나에 해당하는 자는 3년 이하의 징역 또는 3천만원 이하의 벌금에 처한다. 
1. 제27조제4항을 위반하여 가입자 보호조치를 하지 아니한 퇴직연금사업자
2. 제33조제3항 및 제4항을 위반한 퇴직연금사업자</t>
        </is>
      </c>
    </row>
    <row r="938">
      <c r="A938" s="2" t="inlineStr">
        <is>
          <t>REG-0937</t>
        </is>
      </c>
      <c r="B938" s="2" t="inlineStr">
        <is>
          <t>규정형</t>
        </is>
      </c>
      <c r="C938" s="2" t="inlineStr">
        <is>
          <t>퇴직연금</t>
        </is>
      </c>
      <c r="D938" s="2" t="inlineStr">
        <is>
          <t>근로자퇴직급여 보장법</t>
        </is>
      </c>
      <c r="E938" s="2" t="inlineStr">
        <is>
          <t>penalty_amount</t>
        </is>
      </c>
      <c r="F938" s="2" t="inlineStr">
        <is>
          <t>「근로자퇴직급여 보장법」 제44조(벌칙)에서 정한 벌금의 최고 상한은 얼마인가?</t>
        </is>
      </c>
      <c r="G938" s="2" t="inlineStr">
        <is>
          <t>span</t>
        </is>
      </c>
      <c r="H938" s="2" t="inlineStr">
        <is>
          <t>3천만원</t>
        </is>
      </c>
      <c r="I938" s="2" t="inlineStr"/>
      <c r="J938" s="2" t="inlineStr">
        <is>
          <t>국가법령정보센터 Open API (www.law.go.kr) — 근로자퇴직급여 보장법 (시행 20260701)</t>
        </is>
      </c>
      <c r="K938" s="2" t="inlineStr">
        <is>
          <t>제44조</t>
        </is>
      </c>
      <c r="L938" s="2" t="inlineStr">
        <is>
          <t>제44조(벌칙) 다음 각 호의 어느 하나에 해당하는 자는 3년 이하의 징역 또는 3천만원 이하의 벌금에 처한다. 
1. 제27조제4항을 위반하여 가입자 보호조치를 하지 아니한 퇴직연금사업자
2. 제33조제3항 및 제4항을 위반한 퇴직연금사업자</t>
        </is>
      </c>
    </row>
    <row r="939">
      <c r="A939" s="2" t="inlineStr">
        <is>
          <t>REG-0938</t>
        </is>
      </c>
      <c r="B939" s="2" t="inlineStr">
        <is>
          <t>규정형</t>
        </is>
      </c>
      <c r="C939" s="2" t="inlineStr">
        <is>
          <t>퇴직연금</t>
        </is>
      </c>
      <c r="D939" s="2" t="inlineStr">
        <is>
          <t>근로자퇴직급여 보장법</t>
        </is>
      </c>
      <c r="E939" s="2" t="inlineStr">
        <is>
          <t>penalty_amount</t>
        </is>
      </c>
      <c r="F939" s="2" t="inlineStr">
        <is>
          <t>「근로자퇴직급여 보장법」 제45조(벌칙)에서 정한 징역형의 최고 상한은 몇 년인가?</t>
        </is>
      </c>
      <c r="G939" s="2" t="inlineStr">
        <is>
          <t>numeric</t>
        </is>
      </c>
      <c r="H939" s="2" t="inlineStr">
        <is>
          <t>2</t>
        </is>
      </c>
      <c r="I939" s="2" t="inlineStr">
        <is>
          <t>년</t>
        </is>
      </c>
      <c r="J939" s="2" t="inlineStr">
        <is>
          <t>국가법령정보센터 Open API (www.law.go.kr) — 근로자퇴직급여 보장법 (시행 20260701)</t>
        </is>
      </c>
      <c r="K939" s="2" t="inlineStr">
        <is>
          <t>제45조</t>
        </is>
      </c>
      <c r="L939" s="2" t="inlineStr">
        <is>
          <t xml:space="preserve">제45조(벌칙) 다음 각 호의 어느 하나에 해당하는 자는 2년 이하의 징역 또는 2천만원 이하의 벌금에 처한다. 
1. 제4조제2항을 위반하여 하나의 사업 안에 퇴직급여제도를 차등하여 설정한 자
2. 제31조제3항을 위반하여 고용노동부장관에 등록하지 아니하고 퇴직연금제도 모집업무를 수행한 자
3. 제31조제4항을 위반하여 퇴직연금제도 모집인 이외의 자에게 </t>
        </is>
      </c>
    </row>
    <row r="940">
      <c r="A940" s="2" t="inlineStr">
        <is>
          <t>REG-0939</t>
        </is>
      </c>
      <c r="B940" s="2" t="inlineStr">
        <is>
          <t>규정형</t>
        </is>
      </c>
      <c r="C940" s="2" t="inlineStr">
        <is>
          <t>퇴직연금</t>
        </is>
      </c>
      <c r="D940" s="2" t="inlineStr">
        <is>
          <t>근로자퇴직급여 보장법</t>
        </is>
      </c>
      <c r="E940" s="2" t="inlineStr">
        <is>
          <t>penalty_amount</t>
        </is>
      </c>
      <c r="F940" s="2" t="inlineStr">
        <is>
          <t>「근로자퇴직급여 보장법」 제45조(벌칙)에서 정한 벌금의 최고 상한은 얼마인가?</t>
        </is>
      </c>
      <c r="G940" s="2" t="inlineStr">
        <is>
          <t>span</t>
        </is>
      </c>
      <c r="H940" s="2" t="inlineStr">
        <is>
          <t>2천만원</t>
        </is>
      </c>
      <c r="I940" s="2" t="inlineStr"/>
      <c r="J940" s="2" t="inlineStr">
        <is>
          <t>국가법령정보센터 Open API (www.law.go.kr) — 근로자퇴직급여 보장법 (시행 20260701)</t>
        </is>
      </c>
      <c r="K940" s="2" t="inlineStr">
        <is>
          <t>제45조</t>
        </is>
      </c>
      <c r="L940" s="2" t="inlineStr">
        <is>
          <t xml:space="preserve">제45조(벌칙) 다음 각 호의 어느 하나에 해당하는 자는 2년 이하의 징역 또는 2천만원 이하의 벌금에 처한다. 
1. 제4조제2항을 위반하여 하나의 사업 안에 퇴직급여제도를 차등하여 설정한 자
2. 제31조제3항을 위반하여 고용노동부장관에 등록하지 아니하고 퇴직연금제도 모집업무를 수행한 자
3. 제31조제4항을 위반하여 퇴직연금제도 모집인 이외의 자에게 </t>
        </is>
      </c>
    </row>
    <row r="941">
      <c r="A941" s="2" t="inlineStr">
        <is>
          <t>REG-0940</t>
        </is>
      </c>
      <c r="B941" s="2" t="inlineStr">
        <is>
          <t>규정형</t>
        </is>
      </c>
      <c r="C941" s="2" t="inlineStr">
        <is>
          <t>퇴직연금</t>
        </is>
      </c>
      <c r="D941" s="2" t="inlineStr">
        <is>
          <t>근로자퇴직급여 보장법</t>
        </is>
      </c>
      <c r="E941" s="2" t="inlineStr">
        <is>
          <t>penalty_amount</t>
        </is>
      </c>
      <c r="F941" s="2" t="inlineStr">
        <is>
          <t>「근로자퇴직급여 보장법」 제48조(과태료)에서 정한 과태료의 최고 상한은 얼마인가?</t>
        </is>
      </c>
      <c r="G941" s="2" t="inlineStr">
        <is>
          <t>span</t>
        </is>
      </c>
      <c r="H941" s="2" t="inlineStr">
        <is>
          <t>1천만원</t>
        </is>
      </c>
      <c r="I941" s="2" t="inlineStr"/>
      <c r="J941" s="2" t="inlineStr">
        <is>
          <t>국가법령정보센터 Open API (www.law.go.kr) — 근로자퇴직급여 보장법 (시행 20260701)</t>
        </is>
      </c>
      <c r="K941" s="2" t="inlineStr">
        <is>
          <t>제48조</t>
        </is>
      </c>
      <c r="L941" s="2" t="inlineStr">
        <is>
          <t>제48조(과태료)
① 다음 각 호의 어느 하나에 해당하는 자에게는 1천만원 이하의 과태료를 부과한다. 
1. 제16조제2항을 위반하여 적립금이 최소적립금을 넘고 있는지 확인하여 그 결과를 사용자에게 알리지 아니하거나, 적립금이 최소적립금보다 적은 경우 그 확인 결과를 근로자대표에게 알리지 아니한 퇴직연금사업자
2. 제16조제3항에 따른 적립금 부족을 해소하</t>
        </is>
      </c>
    </row>
    <row r="942">
      <c r="A942" s="2" t="inlineStr">
        <is>
          <t>REG-0941</t>
        </is>
      </c>
      <c r="B942" s="2" t="inlineStr">
        <is>
          <t>규정형</t>
        </is>
      </c>
      <c r="C942" s="2" t="inlineStr">
        <is>
          <t>공통</t>
        </is>
      </c>
      <c r="D942" s="2" t="inlineStr">
        <is>
          <t>법령 개정(신구조문)</t>
        </is>
      </c>
      <c r="E942" s="2" t="inlineStr">
        <is>
          <t>temporal_validity</t>
        </is>
      </c>
      <c r="F942" s="2" t="inlineStr">
        <is>
          <t>2026-03-01 기준으로 다음 규정이 유효한가? 「금융소비자 보호에 관한 법률 시행령 일부개정 제43조제2항제2호」 — 재해로 인해 수입등 산정에 필요한 자료가 소멸·훼손되는 등의 이유로 수입등 산정이 곤란한 경우를 제2항 제2호의 경우로 한다</t>
        </is>
      </c>
      <c r="G942" s="2" t="inlineStr">
        <is>
          <t>boolean</t>
        </is>
      </c>
      <c r="H942" s="2" t="inlineStr">
        <is>
          <t>YES</t>
        </is>
      </c>
      <c r="I942" s="2" t="inlineStr"/>
      <c r="J942" s="2" t="inlineStr">
        <is>
          <t>국가법령정보센터 Open API (www.law.go.kr) — 개정문 시행일 메타데이터 (KR-FinReg-QA v1에서 이식)</t>
        </is>
      </c>
      <c r="K942" s="2" t="inlineStr">
        <is>
          <t>amend:law:285715</t>
        </is>
      </c>
      <c r="L942" s="2" t="inlineStr">
        <is>
          <t>구규정 유효기간 2026-01-02~2026-04-27, 질의 시점 2026-03-01</t>
        </is>
      </c>
    </row>
    <row r="943">
      <c r="A943" s="2" t="inlineStr">
        <is>
          <t>REG-0942</t>
        </is>
      </c>
      <c r="B943" s="2" t="inlineStr">
        <is>
          <t>규정형</t>
        </is>
      </c>
      <c r="C943" s="2" t="inlineStr">
        <is>
          <t>공통</t>
        </is>
      </c>
      <c r="D943" s="2" t="inlineStr">
        <is>
          <t>법령 개정(신구조문)</t>
        </is>
      </c>
      <c r="E943" s="2" t="inlineStr">
        <is>
          <t>temporal_validity</t>
        </is>
      </c>
      <c r="F943" s="2" t="inlineStr">
        <is>
          <t>2024-04-20 기준으로 다음 규정이 유효한가? 「대부업등 감독규정 시행세칙 일부개정 제5조」 — 등록신청 시 제7호 서류로 법 제3조의5제2항제2호에 따른 자기자본을 갖추었음을 증명하는 서류를 제출하되, 대부중개업만을 영위하려는 자는 제출대상에서 제외한다</t>
        </is>
      </c>
      <c r="G943" s="2" t="inlineStr">
        <is>
          <t>boolean</t>
        </is>
      </c>
      <c r="H943" s="2" t="inlineStr">
        <is>
          <t>YES</t>
        </is>
      </c>
      <c r="I943" s="2" t="inlineStr"/>
      <c r="J943" s="2" t="inlineStr">
        <is>
          <t>국가법령정보센터 Open API (www.law.go.kr) — 개정문 시행일 메타데이터 (KR-FinReg-QA v1에서 이식)</t>
        </is>
      </c>
      <c r="K943" s="2" t="inlineStr">
        <is>
          <t>amend:law:2200000107705</t>
        </is>
      </c>
      <c r="L943" s="2" t="inlineStr">
        <is>
          <t>구규정 유효기간 2023-01-18~2025-07-21, 질의 시점 2024-04-20</t>
        </is>
      </c>
    </row>
    <row r="944">
      <c r="A944" s="2" t="inlineStr">
        <is>
          <t>REG-0943</t>
        </is>
      </c>
      <c r="B944" s="2" t="inlineStr">
        <is>
          <t>규정형</t>
        </is>
      </c>
      <c r="C944" s="2" t="inlineStr">
        <is>
          <t>퇴직연금</t>
        </is>
      </c>
      <c r="D944" s="2" t="inlineStr">
        <is>
          <t>법령 개정(신구조문)</t>
        </is>
      </c>
      <c r="E944" s="2" t="inlineStr">
        <is>
          <t>temporal_validity</t>
        </is>
      </c>
      <c r="F944" s="2" t="inlineStr">
        <is>
          <t>2023-11-30 기준으로 다음 규정이 유효한가? 「퇴직연금감독규정 일부개정 제13조제3항」 — 일정 사유로 제11조 및 제12조의 투자한도를 초과하는 경우 차기 운용방법 변경시기(수시 변경 가능 시 6월 이내)까지 한도 위반으로 보지 않는다</t>
        </is>
      </c>
      <c r="G944" s="2" t="inlineStr">
        <is>
          <t>boolean</t>
        </is>
      </c>
      <c r="H944" s="2" t="inlineStr">
        <is>
          <t>NO</t>
        </is>
      </c>
      <c r="I944" s="2" t="inlineStr"/>
      <c r="J944" s="2" t="inlineStr">
        <is>
          <t>국가법령정보센터 Open API (www.law.go.kr) — 개정문 시행일 메타데이터 (KR-FinReg-QA v1에서 이식)</t>
        </is>
      </c>
      <c r="K944" s="2" t="inlineStr">
        <is>
          <t>amend:law:2100000231486</t>
        </is>
      </c>
      <c r="L944" s="2" t="inlineStr">
        <is>
          <t>구규정 유효기간 2022-07-12~2023-11-15, 질의 시점 2023-11-30</t>
        </is>
      </c>
    </row>
    <row r="945">
      <c r="A945" s="2" t="inlineStr">
        <is>
          <t>REG-0944</t>
        </is>
      </c>
      <c r="B945" s="2" t="inlineStr">
        <is>
          <t>규정형</t>
        </is>
      </c>
      <c r="C945" s="2" t="inlineStr">
        <is>
          <t>공통</t>
        </is>
      </c>
      <c r="D945" s="2" t="inlineStr">
        <is>
          <t>법령 개정(신구조문)</t>
        </is>
      </c>
      <c r="E945" s="2" t="inlineStr">
        <is>
          <t>temporal_validity</t>
        </is>
      </c>
      <c r="F945" s="2" t="inlineStr">
        <is>
          <t>2026-12-31 기준으로 다음 규정이 유효한가? 「전자금융거래법 일부개정 제2조제19호」 — 전자지급결제대행은 전자적 방법으로 재화 구입 또는 용역 이용에 있어서 지급결제정보를 송신·수신하는 것 또는 그 대가의 정산을 대행하거나 매개하는 것을 말한다</t>
        </is>
      </c>
      <c r="G945" s="2" t="inlineStr">
        <is>
          <t>boolean</t>
        </is>
      </c>
      <c r="H945" s="2" t="inlineStr">
        <is>
          <t>NO</t>
        </is>
      </c>
      <c r="I945" s="2" t="inlineStr"/>
      <c r="J945" s="2" t="inlineStr">
        <is>
          <t>국가법령정보센터 Open API (www.law.go.kr) — 개정문 시행일 메타데이터 (KR-FinReg-QA v1에서 이식)</t>
        </is>
      </c>
      <c r="K945" s="2" t="inlineStr">
        <is>
          <t>amend:law:280277</t>
        </is>
      </c>
      <c r="L945" s="2" t="inlineStr">
        <is>
          <t>구규정 유효기간 2024-09-15~2026-12-16, 질의 시점 2026-12-31</t>
        </is>
      </c>
    </row>
    <row r="946">
      <c r="A946" s="2" t="inlineStr">
        <is>
          <t>REG-0945</t>
        </is>
      </c>
      <c r="B946" s="2" t="inlineStr">
        <is>
          <t>규정형</t>
        </is>
      </c>
      <c r="C946" s="2" t="inlineStr">
        <is>
          <t>공통</t>
        </is>
      </c>
      <c r="D946" s="2" t="inlineStr">
        <is>
          <t>법령 개정(신구조문)</t>
        </is>
      </c>
      <c r="E946" s="2" t="inlineStr">
        <is>
          <t>temporal_validity</t>
        </is>
      </c>
      <c r="F946" s="2" t="inlineStr">
        <is>
          <t>2026-05-12 기준으로 다음 규정이 유효한가? 「금융소비자 보호에 관한 법률 시행령 일부개정 제43조제3항」 — 제3항은 법 제57조제3항에 따른 과징금 부과기준을 별표 2로 정한다</t>
        </is>
      </c>
      <c r="G946" s="2" t="inlineStr">
        <is>
          <t>boolean</t>
        </is>
      </c>
      <c r="H946" s="2" t="inlineStr">
        <is>
          <t>NO</t>
        </is>
      </c>
      <c r="I946" s="2" t="inlineStr"/>
      <c r="J946" s="2" t="inlineStr">
        <is>
          <t>국가법령정보센터 Open API (www.law.go.kr) — 개정문 시행일 메타데이터 (KR-FinReg-QA v1에서 이식)</t>
        </is>
      </c>
      <c r="K946" s="2" t="inlineStr">
        <is>
          <t>amend:law:285715</t>
        </is>
      </c>
      <c r="L946" s="2" t="inlineStr">
        <is>
          <t>구규정 유효기간 2026-01-02~2026-04-27, 질의 시점 2026-05-12</t>
        </is>
      </c>
    </row>
    <row r="947">
      <c r="A947" s="2" t="inlineStr">
        <is>
          <t>REG-0946</t>
        </is>
      </c>
      <c r="B947" s="2" t="inlineStr">
        <is>
          <t>규정형</t>
        </is>
      </c>
      <c r="C947" s="2" t="inlineStr">
        <is>
          <t>공통</t>
        </is>
      </c>
      <c r="D947" s="2" t="inlineStr">
        <is>
          <t>법령 개정(신구조문)</t>
        </is>
      </c>
      <c r="E947" s="2" t="inlineStr">
        <is>
          <t>temporal_validity</t>
        </is>
      </c>
      <c r="F947" s="2" t="inlineStr">
        <is>
          <t>2026-12-31 기준으로 다음 규정이 유효한가? 「전자금융거래법 일부개정 제51조제5호」 — 제36조의2제1호를 위반하여 선불전자지급수단의 할인발행 또는 적립금 지급 등 경제적 이익을 부여한 자를 처벌한다</t>
        </is>
      </c>
      <c r="G947" s="2" t="inlineStr">
        <is>
          <t>boolean</t>
        </is>
      </c>
      <c r="H947" s="2" t="inlineStr">
        <is>
          <t>NO</t>
        </is>
      </c>
      <c r="I947" s="2" t="inlineStr"/>
      <c r="J947" s="2" t="inlineStr">
        <is>
          <t>국가법령정보센터 Open API (www.law.go.kr) — 개정문 시행일 메타데이터 (KR-FinReg-QA v1에서 이식)</t>
        </is>
      </c>
      <c r="K947" s="2" t="inlineStr">
        <is>
          <t>amend:law:280277</t>
        </is>
      </c>
      <c r="L947" s="2" t="inlineStr">
        <is>
          <t>구규정 유효기간 2024-09-15~2026-12-16, 질의 시점 2026-12-31</t>
        </is>
      </c>
    </row>
    <row r="948">
      <c r="A948" s="2" t="inlineStr">
        <is>
          <t>REG-0947</t>
        </is>
      </c>
      <c r="B948" s="2" t="inlineStr">
        <is>
          <t>규정형</t>
        </is>
      </c>
      <c r="C948" s="2" t="inlineStr">
        <is>
          <t>퇴직연금</t>
        </is>
      </c>
      <c r="D948" s="2" t="inlineStr">
        <is>
          <t>법령 개정(신구조문)</t>
        </is>
      </c>
      <c r="E948" s="2" t="inlineStr">
        <is>
          <t>temporal_validity</t>
        </is>
      </c>
      <c r="F948" s="2" t="inlineStr">
        <is>
          <t>2023-11-30 기준으로 다음 규정이 유효한가? 「퇴직연금감독규정 일부개정 제11조」 — 동일 계열기업군에 속한 기업이 발행한 증권(집합투자증권 제외)에 대한 투자한도는 사용자별 적립금의 15%를 초과할 수 없다</t>
        </is>
      </c>
      <c r="G948" s="2" t="inlineStr">
        <is>
          <t>boolean</t>
        </is>
      </c>
      <c r="H948" s="2" t="inlineStr">
        <is>
          <t>NO</t>
        </is>
      </c>
      <c r="I948" s="2" t="inlineStr"/>
      <c r="J948" s="2" t="inlineStr">
        <is>
          <t>국가법령정보센터 Open API (www.law.go.kr) — 개정문 시행일 메타데이터 (KR-FinReg-QA v1에서 이식)</t>
        </is>
      </c>
      <c r="K948" s="2" t="inlineStr">
        <is>
          <t>amend:law:2100000231486</t>
        </is>
      </c>
      <c r="L948" s="2" t="inlineStr">
        <is>
          <t>구규정 유효기간 2022-07-12~2023-11-15, 질의 시점 2023-11-30</t>
        </is>
      </c>
    </row>
    <row r="949">
      <c r="A949" s="2" t="inlineStr">
        <is>
          <t>REG-0948</t>
        </is>
      </c>
      <c r="B949" s="2" t="inlineStr">
        <is>
          <t>규정형</t>
        </is>
      </c>
      <c r="C949" s="2" t="inlineStr">
        <is>
          <t>공통</t>
        </is>
      </c>
      <c r="D949" s="2" t="inlineStr">
        <is>
          <t>법령 개정(신구조문)</t>
        </is>
      </c>
      <c r="E949" s="2" t="inlineStr">
        <is>
          <t>temporal_validity</t>
        </is>
      </c>
      <c r="F949" s="2" t="inlineStr">
        <is>
          <t>2025-10-31 기준으로 다음 규정이 유효한가? 「전자금융거래법 일부개정 제43조제1항제3호」 — 제23조, 제39조제6항, 제40조제2항 또는 제42조제3항에 따른 금융위원회의 조치·지시·명령을 어긴 때에 해당한다</t>
        </is>
      </c>
      <c r="G949" s="2" t="inlineStr">
        <is>
          <t>boolean</t>
        </is>
      </c>
      <c r="H949" s="2" t="inlineStr">
        <is>
          <t>YES</t>
        </is>
      </c>
      <c r="I949" s="2" t="inlineStr"/>
      <c r="J949" s="2" t="inlineStr">
        <is>
          <t>국가법령정보센터 Open API (www.law.go.kr) — 개정문 시행일 메타데이터 (KR-FinReg-QA v1에서 이식)</t>
        </is>
      </c>
      <c r="K949" s="2" t="inlineStr">
        <is>
          <t>amend:law:280277</t>
        </is>
      </c>
      <c r="L949" s="2" t="inlineStr">
        <is>
          <t>구규정 유효기간 2024-09-15~2026-12-16, 질의 시점 2025-10-31</t>
        </is>
      </c>
    </row>
    <row r="950">
      <c r="A950" s="2" t="inlineStr">
        <is>
          <t>REG-0949</t>
        </is>
      </c>
      <c r="B950" s="2" t="inlineStr">
        <is>
          <t>규정형</t>
        </is>
      </c>
      <c r="C950" s="2" t="inlineStr">
        <is>
          <t>공통</t>
        </is>
      </c>
      <c r="D950" s="2" t="inlineStr">
        <is>
          <t>법령 개정(신구조문)</t>
        </is>
      </c>
      <c r="E950" s="2" t="inlineStr">
        <is>
          <t>temporal_validity</t>
        </is>
      </c>
      <c r="F950" s="2" t="inlineStr">
        <is>
          <t>2026-05-12 기준으로 다음 규정이 유효한가? 「금융소비자 보호에 관한 법률 시행령 일부개정 제43조제2항제1호」 — 영업실적이 없는 등의 사유로 위반행위와 관련된 계약에 따른 수입등이 없는 경우를 제2항 제1호의 경우로 한다</t>
        </is>
      </c>
      <c r="G950" s="2" t="inlineStr">
        <is>
          <t>boolean</t>
        </is>
      </c>
      <c r="H950" s="2" t="inlineStr">
        <is>
          <t>NO</t>
        </is>
      </c>
      <c r="I950" s="2" t="inlineStr"/>
      <c r="J950" s="2" t="inlineStr">
        <is>
          <t>국가법령정보센터 Open API (www.law.go.kr) — 개정문 시행일 메타데이터 (KR-FinReg-QA v1에서 이식)</t>
        </is>
      </c>
      <c r="K950" s="2" t="inlineStr">
        <is>
          <t>amend:law:285715</t>
        </is>
      </c>
      <c r="L950" s="2" t="inlineStr">
        <is>
          <t>구규정 유효기간 2026-01-02~2026-04-27, 질의 시점 2026-05-12</t>
        </is>
      </c>
    </row>
    <row r="951">
      <c r="A951" s="2" t="inlineStr">
        <is>
          <t>REG-0950</t>
        </is>
      </c>
      <c r="B951" s="2" t="inlineStr">
        <is>
          <t>규정형</t>
        </is>
      </c>
      <c r="C951" s="2" t="inlineStr">
        <is>
          <t>퇴직연금</t>
        </is>
      </c>
      <c r="D951" s="2" t="inlineStr">
        <is>
          <t>법령 개정(신구조문)</t>
        </is>
      </c>
      <c r="E951" s="2" t="inlineStr">
        <is>
          <t>temporal_validity</t>
        </is>
      </c>
      <c r="F951" s="2" t="inlineStr">
        <is>
          <t>2023-03-15 기준으로 다음 규정이 유효한가? 「퇴직연금감독규정 일부개정 제11조」 — 동일 계열기업군에 속한 기업이 발행한 증권(집합투자증권 제외)에 대한 투자한도는 사용자별 적립금의 15%를 초과할 수 없다</t>
        </is>
      </c>
      <c r="G951" s="2" t="inlineStr">
        <is>
          <t>boolean</t>
        </is>
      </c>
      <c r="H951" s="2" t="inlineStr">
        <is>
          <t>YES</t>
        </is>
      </c>
      <c r="I951" s="2" t="inlineStr"/>
      <c r="J951" s="2" t="inlineStr">
        <is>
          <t>국가법령정보센터 Open API (www.law.go.kr) — 개정문 시행일 메타데이터 (KR-FinReg-QA v1에서 이식)</t>
        </is>
      </c>
      <c r="K951" s="2" t="inlineStr">
        <is>
          <t>amend:law:2100000231486</t>
        </is>
      </c>
      <c r="L951" s="2" t="inlineStr">
        <is>
          <t>구규정 유효기간 2022-07-12~2023-11-15, 질의 시점 2023-03-15</t>
        </is>
      </c>
    </row>
    <row r="952">
      <c r="A952" s="2" t="inlineStr">
        <is>
          <t>REG-0951</t>
        </is>
      </c>
      <c r="B952" s="2" t="inlineStr">
        <is>
          <t>규정형</t>
        </is>
      </c>
      <c r="C952" s="2" t="inlineStr">
        <is>
          <t>공통</t>
        </is>
      </c>
      <c r="D952" s="2" t="inlineStr">
        <is>
          <t>법령 개정(신구조문)</t>
        </is>
      </c>
      <c r="E952" s="2" t="inlineStr">
        <is>
          <t>temporal_validity</t>
        </is>
      </c>
      <c r="F952" s="2" t="inlineStr">
        <is>
          <t>2024-04-20 기준으로 다음 규정이 유효한가? 「대부업등 감독규정 시행세칙 일부개정 제8조」 — 변경등록신청서 첨부서류 중 제5호는 영업소 소재지 변경, 제6호는 출자자 변경, 제7호는 상호에 '대부'·'대부중개' 문자 미사용, 제8호는 대표자·임원·업무총괄사용인·출자자 변경, 제11호는 대표자 및 업무총괄사용인 변경, 제12호는 출자자 변경의 경우로 한정한다</t>
        </is>
      </c>
      <c r="G952" s="2" t="inlineStr">
        <is>
          <t>boolean</t>
        </is>
      </c>
      <c r="H952" s="2" t="inlineStr">
        <is>
          <t>YES</t>
        </is>
      </c>
      <c r="I952" s="2" t="inlineStr"/>
      <c r="J952" s="2" t="inlineStr">
        <is>
          <t>국가법령정보센터 Open API (www.law.go.kr) — 개정문 시행일 메타데이터 (KR-FinReg-QA v1에서 이식)</t>
        </is>
      </c>
      <c r="K952" s="2" t="inlineStr">
        <is>
          <t>amend:law:2200000107705</t>
        </is>
      </c>
      <c r="L952" s="2" t="inlineStr">
        <is>
          <t>구규정 유효기간 2023-01-18~2025-07-21, 질의 시점 2024-04-20</t>
        </is>
      </c>
    </row>
    <row r="953">
      <c r="A953" s="2" t="inlineStr">
        <is>
          <t>REG-0952</t>
        </is>
      </c>
      <c r="B953" s="2" t="inlineStr">
        <is>
          <t>규정형</t>
        </is>
      </c>
      <c r="C953" s="2" t="inlineStr">
        <is>
          <t>공통</t>
        </is>
      </c>
      <c r="D953" s="2" t="inlineStr">
        <is>
          <t>법령 개정(신구조문)</t>
        </is>
      </c>
      <c r="E953" s="2" t="inlineStr">
        <is>
          <t>temporal_validity</t>
        </is>
      </c>
      <c r="F953" s="2" t="inlineStr">
        <is>
          <t>2026-12-31 기준으로 다음 규정이 유효한가? 「전자금융거래법 일부개정 제51조제11호」 — 제51조 제11호는 제42조제1항을 위반하여 보고서를 제출하지 아니하거나 거짓의 보고서를 제출한 자를 과태료 부과 대상으로 규정하였다</t>
        </is>
      </c>
      <c r="G953" s="2" t="inlineStr">
        <is>
          <t>boolean</t>
        </is>
      </c>
      <c r="H953" s="2" t="inlineStr">
        <is>
          <t>NO</t>
        </is>
      </c>
      <c r="I953" s="2" t="inlineStr"/>
      <c r="J953" s="2" t="inlineStr">
        <is>
          <t>국가법령정보센터 Open API (www.law.go.kr) — 개정문 시행일 메타데이터 (KR-FinReg-QA v1에서 이식)</t>
        </is>
      </c>
      <c r="K953" s="2" t="inlineStr">
        <is>
          <t>amend:law:280277</t>
        </is>
      </c>
      <c r="L953" s="2" t="inlineStr">
        <is>
          <t>구규정 유효기간 2024-09-15~2026-12-16, 질의 시점 2026-12-31</t>
        </is>
      </c>
    </row>
    <row r="954">
      <c r="A954" s="2" t="inlineStr">
        <is>
          <t>REG-0953</t>
        </is>
      </c>
      <c r="B954" s="2" t="inlineStr">
        <is>
          <t>규정형</t>
        </is>
      </c>
      <c r="C954" s="2" t="inlineStr">
        <is>
          <t>공통</t>
        </is>
      </c>
      <c r="D954" s="2" t="inlineStr">
        <is>
          <t>법령 개정(신구조문)</t>
        </is>
      </c>
      <c r="E954" s="2" t="inlineStr">
        <is>
          <t>temporal_validity</t>
        </is>
      </c>
      <c r="F954" s="2" t="inlineStr">
        <is>
          <t>2026-12-31 기준으로 다음 규정이 유효한가? 「전자금융거래법 일부개정 제43조제1항제1호」 — 제6조제1항ㆍ제2항, 제16조제1항부터 제4항까지, 제19조제1항, 제21조제1항ㆍ제2항, 제21조의5제2항, 제25조의2제1항, 제35조, 제35조의2제2항ㆍ제3항, 제36조 또는 제38조제3항ㆍ제4항을 위반한 때에 해당 조치를 할 수 있다</t>
        </is>
      </c>
      <c r="G954" s="2" t="inlineStr">
        <is>
          <t>boolean</t>
        </is>
      </c>
      <c r="H954" s="2" t="inlineStr">
        <is>
          <t>NO</t>
        </is>
      </c>
      <c r="I954" s="2" t="inlineStr"/>
      <c r="J954" s="2" t="inlineStr">
        <is>
          <t>국가법령정보센터 Open API (www.law.go.kr) — 개정문 시행일 메타데이터 (KR-FinReg-QA v1에서 이식)</t>
        </is>
      </c>
      <c r="K954" s="2" t="inlineStr">
        <is>
          <t>amend:law:280277</t>
        </is>
      </c>
      <c r="L954" s="2" t="inlineStr">
        <is>
          <t>구규정 유효기간 2024-09-15~2026-12-16, 질의 시점 2026-12-31</t>
        </is>
      </c>
    </row>
    <row r="955">
      <c r="A955" s="2" t="inlineStr">
        <is>
          <t>REG-0954</t>
        </is>
      </c>
      <c r="B955" s="2" t="inlineStr">
        <is>
          <t>규정형</t>
        </is>
      </c>
      <c r="C955" s="2" t="inlineStr">
        <is>
          <t>공통</t>
        </is>
      </c>
      <c r="D955" s="2" t="inlineStr">
        <is>
          <t>법령 개정(신구조문)</t>
        </is>
      </c>
      <c r="E955" s="2" t="inlineStr">
        <is>
          <t>temporal_validity</t>
        </is>
      </c>
      <c r="F955" s="2" t="inlineStr">
        <is>
          <t>2026-12-31 기준으로 다음 규정이 유효한가? 「전자금융거래법 일부개정 제51조제7호」 — 제36조의2제3호를 위반하여 해당 사실을 기간 내에 통지하지 아니한 자를 처벌한다</t>
        </is>
      </c>
      <c r="G955" s="2" t="inlineStr">
        <is>
          <t>boolean</t>
        </is>
      </c>
      <c r="H955" s="2" t="inlineStr">
        <is>
          <t>NO</t>
        </is>
      </c>
      <c r="I955" s="2" t="inlineStr"/>
      <c r="J955" s="2" t="inlineStr">
        <is>
          <t>국가법령정보센터 Open API (www.law.go.kr) — 개정문 시행일 메타데이터 (KR-FinReg-QA v1에서 이식)</t>
        </is>
      </c>
      <c r="K955" s="2" t="inlineStr">
        <is>
          <t>amend:law:280277</t>
        </is>
      </c>
      <c r="L955" s="2" t="inlineStr">
        <is>
          <t>구규정 유효기간 2024-09-15~2026-12-16, 질의 시점 2026-12-31</t>
        </is>
      </c>
    </row>
    <row r="956">
      <c r="A956" s="2" t="inlineStr">
        <is>
          <t>REG-0955</t>
        </is>
      </c>
      <c r="B956" s="2" t="inlineStr">
        <is>
          <t>규정형</t>
        </is>
      </c>
      <c r="C956" s="2" t="inlineStr">
        <is>
          <t>퇴직연금</t>
        </is>
      </c>
      <c r="D956" s="2" t="inlineStr">
        <is>
          <t>법령 개정(신구조문)</t>
        </is>
      </c>
      <c r="E956" s="2" t="inlineStr">
        <is>
          <t>temporal_validity</t>
        </is>
      </c>
      <c r="F956" s="2" t="inlineStr">
        <is>
          <t>2023-11-30 기준으로 다음 규정이 유효한가? 「퇴직연금감독규정 일부개정 제13조제2항」 — 시장가치(공정가치) 변동으로 제11조 및 제12조의 투자한도를 초과하게 되더라도 한도 위반으로 보지 않으며, 운용관리기관은 운용지시자에게 즉시 통보해야 한다</t>
        </is>
      </c>
      <c r="G956" s="2" t="inlineStr">
        <is>
          <t>boolean</t>
        </is>
      </c>
      <c r="H956" s="2" t="inlineStr">
        <is>
          <t>NO</t>
        </is>
      </c>
      <c r="I956" s="2" t="inlineStr"/>
      <c r="J956" s="2" t="inlineStr">
        <is>
          <t>국가법령정보센터 Open API (www.law.go.kr) — 개정문 시행일 메타데이터 (KR-FinReg-QA v1에서 이식)</t>
        </is>
      </c>
      <c r="K956" s="2" t="inlineStr">
        <is>
          <t>amend:law:2100000231486</t>
        </is>
      </c>
      <c r="L956" s="2" t="inlineStr">
        <is>
          <t>구규정 유효기간 2022-07-12~2023-11-15, 질의 시점 2023-11-30</t>
        </is>
      </c>
    </row>
    <row r="957">
      <c r="A957" s="2" t="inlineStr">
        <is>
          <t>REG-0956</t>
        </is>
      </c>
      <c r="B957" s="2" t="inlineStr">
        <is>
          <t>규정형</t>
        </is>
      </c>
      <c r="C957" s="2" t="inlineStr">
        <is>
          <t>공통</t>
        </is>
      </c>
      <c r="D957" s="2" t="inlineStr">
        <is>
          <t>법령 개정(신구조문)</t>
        </is>
      </c>
      <c r="E957" s="2" t="inlineStr">
        <is>
          <t>temporal_validity</t>
        </is>
      </c>
      <c r="F957" s="2" t="inlineStr">
        <is>
          <t>2026-12-31 기준으로 다음 규정이 유효한가? 「전자금융거래법 일부개정 제49조제4호」 — 제26조를 위반하여 전자금융거래정보를 타인에게 제공·누설하거나 업무상 목적 외에 사용한 자(제28조제4항에 따라 준용되는 선불전자지급수단 발행자 포함)를 처벌한다</t>
        </is>
      </c>
      <c r="G957" s="2" t="inlineStr">
        <is>
          <t>boolean</t>
        </is>
      </c>
      <c r="H957" s="2" t="inlineStr">
        <is>
          <t>NO</t>
        </is>
      </c>
      <c r="I957" s="2" t="inlineStr"/>
      <c r="J957" s="2" t="inlineStr">
        <is>
          <t>국가법령정보센터 Open API (www.law.go.kr) — 개정문 시행일 메타데이터 (KR-FinReg-QA v1에서 이식)</t>
        </is>
      </c>
      <c r="K957" s="2" t="inlineStr">
        <is>
          <t>amend:law:280277</t>
        </is>
      </c>
      <c r="L957" s="2" t="inlineStr">
        <is>
          <t>구규정 유효기간 2024-09-15~2026-12-16, 질의 시점 2026-12-31</t>
        </is>
      </c>
    </row>
    <row r="958">
      <c r="A958" s="2" t="inlineStr">
        <is>
          <t>REG-0957</t>
        </is>
      </c>
      <c r="B958" s="2" t="inlineStr">
        <is>
          <t>규정형</t>
        </is>
      </c>
      <c r="C958" s="2" t="inlineStr">
        <is>
          <t>공통</t>
        </is>
      </c>
      <c r="D958" s="2" t="inlineStr">
        <is>
          <t>법령 개정(신구조문)</t>
        </is>
      </c>
      <c r="E958" s="2" t="inlineStr">
        <is>
          <t>temporal_validity</t>
        </is>
      </c>
      <c r="F958" s="2" t="inlineStr">
        <is>
          <t>2025-08-05 기준으로 다음 규정이 유효한가? 「대부업등 감독규정 시행세칙 일부개정 제5조」 — 등록신청 시 제12호 서류로 주주(사원)명부를 제출하여야 한다</t>
        </is>
      </c>
      <c r="G958" s="2" t="inlineStr">
        <is>
          <t>boolean</t>
        </is>
      </c>
      <c r="H958" s="2" t="inlineStr">
        <is>
          <t>NO</t>
        </is>
      </c>
      <c r="I958" s="2" t="inlineStr"/>
      <c r="J958" s="2" t="inlineStr">
        <is>
          <t>국가법령정보센터 Open API (www.law.go.kr) — 개정문 시행일 메타데이터 (KR-FinReg-QA v1에서 이식)</t>
        </is>
      </c>
      <c r="K958" s="2" t="inlineStr">
        <is>
          <t>amend:law:2200000107705</t>
        </is>
      </c>
      <c r="L958" s="2" t="inlineStr">
        <is>
          <t>구규정 유효기간 2023-01-18~2025-07-21, 질의 시점 2025-08-05</t>
        </is>
      </c>
    </row>
    <row r="959">
      <c r="A959" s="2" t="inlineStr">
        <is>
          <t>REG-0958</t>
        </is>
      </c>
      <c r="B959" s="2" t="inlineStr">
        <is>
          <t>규정형</t>
        </is>
      </c>
      <c r="C959" s="2" t="inlineStr">
        <is>
          <t>공통</t>
        </is>
      </c>
      <c r="D959" s="2" t="inlineStr">
        <is>
          <t>법령 개정(신구조문)</t>
        </is>
      </c>
      <c r="E959" s="2" t="inlineStr">
        <is>
          <t>temporal_validity</t>
        </is>
      </c>
      <c r="F959" s="2" t="inlineStr">
        <is>
          <t>2026-12-31 기준으로 다음 규정이 유효한가? 「전자금융거래법 일부개정 제43조제1항제3호」 — 제23조, 제39조제6항, 제40조제2항 또는 제42조제3항에 따른 금융위원회의 조치·지시·명령을 어긴 때에 해당한다</t>
        </is>
      </c>
      <c r="G959" s="2" t="inlineStr">
        <is>
          <t>boolean</t>
        </is>
      </c>
      <c r="H959" s="2" t="inlineStr">
        <is>
          <t>NO</t>
        </is>
      </c>
      <c r="I959" s="2" t="inlineStr"/>
      <c r="J959" s="2" t="inlineStr">
        <is>
          <t>국가법령정보센터 Open API (www.law.go.kr) — 개정문 시행일 메타데이터 (KR-FinReg-QA v1에서 이식)</t>
        </is>
      </c>
      <c r="K959" s="2" t="inlineStr">
        <is>
          <t>amend:law:280277</t>
        </is>
      </c>
      <c r="L959" s="2" t="inlineStr">
        <is>
          <t>구규정 유효기간 2024-09-15~2026-12-16, 질의 시점 2026-12-31</t>
        </is>
      </c>
    </row>
    <row r="960">
      <c r="A960" s="2" t="inlineStr">
        <is>
          <t>REG-0959</t>
        </is>
      </c>
      <c r="B960" s="2" t="inlineStr">
        <is>
          <t>규정형</t>
        </is>
      </c>
      <c r="C960" s="2" t="inlineStr">
        <is>
          <t>퇴직연금</t>
        </is>
      </c>
      <c r="D960" s="2" t="inlineStr">
        <is>
          <t>법령 개정(신구조문)</t>
        </is>
      </c>
      <c r="E960" s="2" t="inlineStr">
        <is>
          <t>temporal_validity</t>
        </is>
      </c>
      <c r="F960" s="2" t="inlineStr">
        <is>
          <t>2023-11-30 기준으로 다음 규정이 유효한가? 「퇴직연금감독규정 일부개정 제11조제1항」 — 확정급여형퇴직연금과 관련하여 영 제26조제1항제2호가목의 '투자위험을 낮춘 운용방법'은 각 호의 운용방법을 말하며 단서는 없다</t>
        </is>
      </c>
      <c r="G960" s="2" t="inlineStr">
        <is>
          <t>boolean</t>
        </is>
      </c>
      <c r="H960" s="2" t="inlineStr">
        <is>
          <t>NO</t>
        </is>
      </c>
      <c r="I960" s="2" t="inlineStr"/>
      <c r="J960" s="2" t="inlineStr">
        <is>
          <t>국가법령정보센터 Open API (www.law.go.kr) — 개정문 시행일 메타데이터 (KR-FinReg-QA v1에서 이식)</t>
        </is>
      </c>
      <c r="K960" s="2" t="inlineStr">
        <is>
          <t>amend:law:2100000231486</t>
        </is>
      </c>
      <c r="L960" s="2" t="inlineStr">
        <is>
          <t>구규정 유효기간 2022-07-12~2023-11-15, 질의 시점 2023-11-30</t>
        </is>
      </c>
    </row>
    <row r="961">
      <c r="A961" s="2" t="inlineStr">
        <is>
          <t>REG-0960</t>
        </is>
      </c>
      <c r="B961" s="2" t="inlineStr">
        <is>
          <t>규정형</t>
        </is>
      </c>
      <c r="C961" s="2" t="inlineStr">
        <is>
          <t>공통</t>
        </is>
      </c>
      <c r="D961" s="2" t="inlineStr">
        <is>
          <t>법령 개정(신구조문)</t>
        </is>
      </c>
      <c r="E961" s="2" t="inlineStr">
        <is>
          <t>temporal_validity</t>
        </is>
      </c>
      <c r="F961" s="2" t="inlineStr">
        <is>
          <t>2025-10-31 기준으로 다음 규정이 유효한가? 「전자금융거래법 일부개정 제30조제1항제2호」 — 제1호 외의 자는 5억원 이상으로 대통령령으로 정하는 자본금을 갖추어야 한다</t>
        </is>
      </c>
      <c r="G961" s="2" t="inlineStr">
        <is>
          <t>boolean</t>
        </is>
      </c>
      <c r="H961" s="2" t="inlineStr">
        <is>
          <t>YES</t>
        </is>
      </c>
      <c r="I961" s="2" t="inlineStr"/>
      <c r="J961" s="2" t="inlineStr">
        <is>
          <t>국가법령정보센터 Open API (www.law.go.kr) — 개정문 시행일 메타데이터 (KR-FinReg-QA v1에서 이식)</t>
        </is>
      </c>
      <c r="K961" s="2" t="inlineStr">
        <is>
          <t>amend:law:280277</t>
        </is>
      </c>
      <c r="L961" s="2" t="inlineStr">
        <is>
          <t>구규정 유효기간 2024-09-15~2026-12-16, 질의 시점 2025-10-31</t>
        </is>
      </c>
    </row>
    <row r="962">
      <c r="A962" s="2" t="inlineStr">
        <is>
          <t>REG-0961</t>
        </is>
      </c>
      <c r="B962" s="2" t="inlineStr">
        <is>
          <t>규정형</t>
        </is>
      </c>
      <c r="C962" s="2" t="inlineStr">
        <is>
          <t>공통</t>
        </is>
      </c>
      <c r="D962" s="2" t="inlineStr">
        <is>
          <t>법령 개정(신구조문)</t>
        </is>
      </c>
      <c r="E962" s="2" t="inlineStr">
        <is>
          <t>temporal_validity</t>
        </is>
      </c>
      <c r="F962" s="2" t="inlineStr">
        <is>
          <t>2026-03-01 기준으로 다음 규정이 유효한가? 「금융소비자 보호에 관한 법률 시행령 일부개정 제43조제2항제1호」 — 영업실적이 없는 등의 사유로 위반행위와 관련된 계약에 따른 수입등이 없는 경우를 제2항 제1호의 경우로 한다</t>
        </is>
      </c>
      <c r="G962" s="2" t="inlineStr">
        <is>
          <t>boolean</t>
        </is>
      </c>
      <c r="H962" s="2" t="inlineStr">
        <is>
          <t>YES</t>
        </is>
      </c>
      <c r="I962" s="2" t="inlineStr"/>
      <c r="J962" s="2" t="inlineStr">
        <is>
          <t>국가법령정보센터 Open API (www.law.go.kr) — 개정문 시행일 메타데이터 (KR-FinReg-QA v1에서 이식)</t>
        </is>
      </c>
      <c r="K962" s="2" t="inlineStr">
        <is>
          <t>amend:law:285715</t>
        </is>
      </c>
      <c r="L962" s="2" t="inlineStr">
        <is>
          <t>구규정 유효기간 2026-01-02~2026-04-27, 질의 시점 2026-03-01</t>
        </is>
      </c>
    </row>
    <row r="963">
      <c r="A963" s="2" t="inlineStr">
        <is>
          <t>REG-0962</t>
        </is>
      </c>
      <c r="B963" s="2" t="inlineStr">
        <is>
          <t>규정형</t>
        </is>
      </c>
      <c r="C963" s="2" t="inlineStr">
        <is>
          <t>공통</t>
        </is>
      </c>
      <c r="D963" s="2" t="inlineStr">
        <is>
          <t>법령 개정(신구조문)</t>
        </is>
      </c>
      <c r="E963" s="2" t="inlineStr">
        <is>
          <t>temporal_validity</t>
        </is>
      </c>
      <c r="F963" s="2" t="inlineStr">
        <is>
          <t>2025-08-05 기준으로 다음 규정이 유효한가? 「대부업등 감독규정 시행세칙 일부개정 제5조」 — 등록신청 시 제9호 서류로 정관을 제출하여야 한다</t>
        </is>
      </c>
      <c r="G963" s="2" t="inlineStr">
        <is>
          <t>boolean</t>
        </is>
      </c>
      <c r="H963" s="2" t="inlineStr">
        <is>
          <t>NO</t>
        </is>
      </c>
      <c r="I963" s="2" t="inlineStr"/>
      <c r="J963" s="2" t="inlineStr">
        <is>
          <t>국가법령정보센터 Open API (www.law.go.kr) — 개정문 시행일 메타데이터 (KR-FinReg-QA v1에서 이식)</t>
        </is>
      </c>
      <c r="K963" s="2" t="inlineStr">
        <is>
          <t>amend:law:2200000107705</t>
        </is>
      </c>
      <c r="L963" s="2" t="inlineStr">
        <is>
          <t>구규정 유효기간 2023-01-18~2025-07-21, 질의 시점 2025-08-05</t>
        </is>
      </c>
    </row>
    <row r="964">
      <c r="A964" s="2" t="inlineStr">
        <is>
          <t>REG-0963</t>
        </is>
      </c>
      <c r="B964" s="2" t="inlineStr">
        <is>
          <t>규정형</t>
        </is>
      </c>
      <c r="C964" s="2" t="inlineStr">
        <is>
          <t>퇴직연금</t>
        </is>
      </c>
      <c r="D964" s="2" t="inlineStr">
        <is>
          <t>법령 개정(신구조문)</t>
        </is>
      </c>
      <c r="E964" s="2" t="inlineStr">
        <is>
          <t>temporal_validity</t>
        </is>
      </c>
      <c r="F964" s="2" t="inlineStr">
        <is>
          <t>2023-11-30 기준으로 다음 규정이 유효한가? 「퇴직연금감독규정 일부개정 제23조제5항」 — 제1항 각 호의 공시사항은 항목별로 정해진 기한(분기말로부터 10영업일 이내, 변경사항 발생일 즉시, 월말로부터 10영업일 이내, 금리적용 개시일 3영업일 이전) 내에 공시한다</t>
        </is>
      </c>
      <c r="G964" s="2" t="inlineStr">
        <is>
          <t>boolean</t>
        </is>
      </c>
      <c r="H964" s="2" t="inlineStr">
        <is>
          <t>NO</t>
        </is>
      </c>
      <c r="I964" s="2" t="inlineStr"/>
      <c r="J964" s="2" t="inlineStr">
        <is>
          <t>국가법령정보센터 Open API (www.law.go.kr) — 개정문 시행일 메타데이터 (KR-FinReg-QA v1에서 이식)</t>
        </is>
      </c>
      <c r="K964" s="2" t="inlineStr">
        <is>
          <t>amend:law:2100000231486</t>
        </is>
      </c>
      <c r="L964" s="2" t="inlineStr">
        <is>
          <t>구규정 유효기간 2022-07-12~2023-11-15, 질의 시점 2023-11-30</t>
        </is>
      </c>
    </row>
    <row r="965">
      <c r="A965" s="2" t="inlineStr">
        <is>
          <t>REG-0964</t>
        </is>
      </c>
      <c r="B965" s="2" t="inlineStr">
        <is>
          <t>규정형</t>
        </is>
      </c>
      <c r="C965" s="2" t="inlineStr">
        <is>
          <t>공통</t>
        </is>
      </c>
      <c r="D965" s="2" t="inlineStr">
        <is>
          <t>법령 개정(신구조문)</t>
        </is>
      </c>
      <c r="E965" s="2" t="inlineStr">
        <is>
          <t>temporal_validity</t>
        </is>
      </c>
      <c r="F965" s="2" t="inlineStr">
        <is>
          <t>2025-10-31 기준으로 다음 규정이 유효한가? 「전자금융거래법 일부개정 제30조제4항」 — 제3항제1호에 해당하는 자가 제28조에 따라 등록 후 2분기 이상 계속하여 제3항제1호의 금융위원회가 정하는 기준을 초과하면 금융위원회에 신고하고 정해진 기한 내에 제3항제2호의 자본금요건을 갖추어야 한다</t>
        </is>
      </c>
      <c r="G965" s="2" t="inlineStr">
        <is>
          <t>boolean</t>
        </is>
      </c>
      <c r="H965" s="2" t="inlineStr">
        <is>
          <t>YES</t>
        </is>
      </c>
      <c r="I965" s="2" t="inlineStr"/>
      <c r="J965" s="2" t="inlineStr">
        <is>
          <t>국가법령정보센터 Open API (www.law.go.kr) — 개정문 시행일 메타데이터 (KR-FinReg-QA v1에서 이식)</t>
        </is>
      </c>
      <c r="K965" s="2" t="inlineStr">
        <is>
          <t>amend:law:280277</t>
        </is>
      </c>
      <c r="L965" s="2" t="inlineStr">
        <is>
          <t>구규정 유효기간 2024-09-15~2026-12-16, 질의 시점 2025-10-31</t>
        </is>
      </c>
    </row>
    <row r="966">
      <c r="A966" s="2" t="inlineStr">
        <is>
          <t>REG-0965</t>
        </is>
      </c>
      <c r="B966" s="2" t="inlineStr">
        <is>
          <t>규정형</t>
        </is>
      </c>
      <c r="C966" s="2" t="inlineStr">
        <is>
          <t>퇴직연금</t>
        </is>
      </c>
      <c r="D966" s="2" t="inlineStr">
        <is>
          <t>법령 개정(신구조문)</t>
        </is>
      </c>
      <c r="E966" s="2" t="inlineStr">
        <is>
          <t>temporal_validity</t>
        </is>
      </c>
      <c r="F966" s="2" t="inlineStr">
        <is>
          <t>2023-11-30 기준으로 다음 규정이 유효한가? 「퇴직연금감독규정 일부개정 제13조제1항제2호」 — 동일 지방자치단체가 발행한 제9조제1항제1호의 지방채증권 및 동일 법인(한국은행 제외)이 발행한 제9조제1항제2호의 특수채증권의 투자한도는 각각 적립금의 100분의 30 이내이다</t>
        </is>
      </c>
      <c r="G966" s="2" t="inlineStr">
        <is>
          <t>boolean</t>
        </is>
      </c>
      <c r="H966" s="2" t="inlineStr">
        <is>
          <t>NO</t>
        </is>
      </c>
      <c r="I966" s="2" t="inlineStr"/>
      <c r="J966" s="2" t="inlineStr">
        <is>
          <t>국가법령정보센터 Open API (www.law.go.kr) — 개정문 시행일 메타데이터 (KR-FinReg-QA v1에서 이식)</t>
        </is>
      </c>
      <c r="K966" s="2" t="inlineStr">
        <is>
          <t>amend:law:2100000231486</t>
        </is>
      </c>
      <c r="L966" s="2" t="inlineStr">
        <is>
          <t>구규정 유효기간 2022-07-12~2023-11-15, 질의 시점 2023-11-30</t>
        </is>
      </c>
    </row>
    <row r="967">
      <c r="A967" s="2" t="inlineStr">
        <is>
          <t>REG-0966</t>
        </is>
      </c>
      <c r="B967" s="2" t="inlineStr">
        <is>
          <t>규정형</t>
        </is>
      </c>
      <c r="C967" s="2" t="inlineStr">
        <is>
          <t>퇴직연금</t>
        </is>
      </c>
      <c r="D967" s="2" t="inlineStr">
        <is>
          <t>법령 개정(신구조문)</t>
        </is>
      </c>
      <c r="E967" s="2" t="inlineStr">
        <is>
          <t>temporal_validity</t>
        </is>
      </c>
      <c r="F967" s="2" t="inlineStr">
        <is>
          <t>2023-03-15 기준으로 다음 규정이 유효한가? 「퇴직연금감독규정 일부개정 제23조제5항」 — 제1항 각 호의 공시사항은 항목별로 정해진 기한(분기말로부터 10영업일 이내, 변경사항 발생일 즉시, 월말로부터 10영업일 이내, 금리적용 개시일 3영업일 이전) 내에 공시한다</t>
        </is>
      </c>
      <c r="G967" s="2" t="inlineStr">
        <is>
          <t>boolean</t>
        </is>
      </c>
      <c r="H967" s="2" t="inlineStr">
        <is>
          <t>YES</t>
        </is>
      </c>
      <c r="I967" s="2" t="inlineStr"/>
      <c r="J967" s="2" t="inlineStr">
        <is>
          <t>국가법령정보센터 Open API (www.law.go.kr) — 개정문 시행일 메타데이터 (KR-FinReg-QA v1에서 이식)</t>
        </is>
      </c>
      <c r="K967" s="2" t="inlineStr">
        <is>
          <t>amend:law:2100000231486</t>
        </is>
      </c>
      <c r="L967" s="2" t="inlineStr">
        <is>
          <t>구규정 유효기간 2022-07-12~2023-11-15, 질의 시점 2023-03-15</t>
        </is>
      </c>
    </row>
    <row r="968">
      <c r="A968" s="2" t="inlineStr">
        <is>
          <t>REG-0967</t>
        </is>
      </c>
      <c r="B968" s="2" t="inlineStr">
        <is>
          <t>규정형</t>
        </is>
      </c>
      <c r="C968" s="2" t="inlineStr">
        <is>
          <t>공통</t>
        </is>
      </c>
      <c r="D968" s="2" t="inlineStr">
        <is>
          <t>법령 개정(신구조문)</t>
        </is>
      </c>
      <c r="E968" s="2" t="inlineStr">
        <is>
          <t>temporal_validity</t>
        </is>
      </c>
      <c r="F968" s="2" t="inlineStr">
        <is>
          <t>2024-04-20 기준으로 다음 규정이 유효한가? 「대부업등 감독규정 시행세칙 일부개정 제5조」 — 등록신청 시 제8호 서류로 법 제11조의4제2항에 따라 보증금을 예탁하거나 보험 또는 공제에 가입하였음을 증명하는 서류를 제출하여야 한다</t>
        </is>
      </c>
      <c r="G968" s="2" t="inlineStr">
        <is>
          <t>boolean</t>
        </is>
      </c>
      <c r="H968" s="2" t="inlineStr">
        <is>
          <t>YES</t>
        </is>
      </c>
      <c r="I968" s="2" t="inlineStr"/>
      <c r="J968" s="2" t="inlineStr">
        <is>
          <t>국가법령정보센터 Open API (www.law.go.kr) — 개정문 시행일 메타데이터 (KR-FinReg-QA v1에서 이식)</t>
        </is>
      </c>
      <c r="K968" s="2" t="inlineStr">
        <is>
          <t>amend:law:2200000107705</t>
        </is>
      </c>
      <c r="L968" s="2" t="inlineStr">
        <is>
          <t>구규정 유효기간 2023-01-18~2025-07-21, 질의 시점 2024-04-20</t>
        </is>
      </c>
    </row>
    <row r="969">
      <c r="A969" s="2" t="inlineStr">
        <is>
          <t>REG-0968</t>
        </is>
      </c>
      <c r="B969" s="2" t="inlineStr">
        <is>
          <t>규정형</t>
        </is>
      </c>
      <c r="C969" s="2" t="inlineStr">
        <is>
          <t>퇴직연금</t>
        </is>
      </c>
      <c r="D969" s="2" t="inlineStr">
        <is>
          <t>법령 개정(신구조문)</t>
        </is>
      </c>
      <c r="E969" s="2" t="inlineStr">
        <is>
          <t>temporal_validity</t>
        </is>
      </c>
      <c r="F969" s="2" t="inlineStr">
        <is>
          <t>2023-11-30 기준으로 다음 규정이 유효한가? 「퇴직연금감독규정 일부개정 제11조제1항제5호」 — 약관·정관상 주식 투자한도가 집합투자기구 자산총액의 100분의 40 이내이고 투자적격등급 외 채무증권 투자한도가 100분의 30 이내인 증권형집합투자증권 등을 말한다</t>
        </is>
      </c>
      <c r="G969" s="2" t="inlineStr">
        <is>
          <t>boolean</t>
        </is>
      </c>
      <c r="H969" s="2" t="inlineStr">
        <is>
          <t>NO</t>
        </is>
      </c>
      <c r="I969" s="2" t="inlineStr"/>
      <c r="J969" s="2" t="inlineStr">
        <is>
          <t>국가법령정보센터 Open API (www.law.go.kr) — 개정문 시행일 메타데이터 (KR-FinReg-QA v1에서 이식)</t>
        </is>
      </c>
      <c r="K969" s="2" t="inlineStr">
        <is>
          <t>amend:law:2100000231486</t>
        </is>
      </c>
      <c r="L969" s="2" t="inlineStr">
        <is>
          <t>구규정 유효기간 2022-07-12~2023-11-15, 질의 시점 2023-11-30</t>
        </is>
      </c>
    </row>
    <row r="970">
      <c r="A970" s="2" t="inlineStr">
        <is>
          <t>REG-0969</t>
        </is>
      </c>
      <c r="B970" s="2" t="inlineStr">
        <is>
          <t>규정형</t>
        </is>
      </c>
      <c r="C970" s="2" t="inlineStr">
        <is>
          <t>공통</t>
        </is>
      </c>
      <c r="D970" s="2" t="inlineStr">
        <is>
          <t>법령 개정(신구조문)</t>
        </is>
      </c>
      <c r="E970" s="2" t="inlineStr">
        <is>
          <t>temporal_validity</t>
        </is>
      </c>
      <c r="F970" s="2" t="inlineStr">
        <is>
          <t>2026-12-31 기준으로 다음 규정이 유효한가? 「전자금융거래법 일부개정 제51조제8호」 — 제36조의2제4호를 위반하여 이용자 보호 또는 건전한 거래질서를 저해할 우려가 있는 행위를 한 자를 처벌한다</t>
        </is>
      </c>
      <c r="G970" s="2" t="inlineStr">
        <is>
          <t>boolean</t>
        </is>
      </c>
      <c r="H970" s="2" t="inlineStr">
        <is>
          <t>NO</t>
        </is>
      </c>
      <c r="I970" s="2" t="inlineStr"/>
      <c r="J970" s="2" t="inlineStr">
        <is>
          <t>국가법령정보센터 Open API (www.law.go.kr) — 개정문 시행일 메타데이터 (KR-FinReg-QA v1에서 이식)</t>
        </is>
      </c>
      <c r="K970" s="2" t="inlineStr">
        <is>
          <t>amend:law:280277</t>
        </is>
      </c>
      <c r="L970" s="2" t="inlineStr">
        <is>
          <t>구규정 유효기간 2024-09-15~2026-12-16, 질의 시점 2026-12-31</t>
        </is>
      </c>
    </row>
    <row r="971">
      <c r="A971" s="2" t="inlineStr">
        <is>
          <t>REG-0970</t>
        </is>
      </c>
      <c r="B971" s="2" t="inlineStr">
        <is>
          <t>규정형</t>
        </is>
      </c>
      <c r="C971" s="2" t="inlineStr">
        <is>
          <t>공통</t>
        </is>
      </c>
      <c r="D971" s="2" t="inlineStr">
        <is>
          <t>법령 개정(신구조문)</t>
        </is>
      </c>
      <c r="E971" s="2" t="inlineStr">
        <is>
          <t>temporal_validity</t>
        </is>
      </c>
      <c r="F971" s="2" t="inlineStr">
        <is>
          <t>2026-12-31 기준으로 다음 규정이 유효한가? 「전자금융거래법 일부개정 제51조제10호」 — 제51조 제10호는 제39조제3항(제29조제2항 준용 포함) 또는 제40조제3항·제4항에 따른 검사, 자료제출, 출석요구 및 조사를 거부·방해·기피한 자를 과태료 부과 대상으로 규정하였다</t>
        </is>
      </c>
      <c r="G971" s="2" t="inlineStr">
        <is>
          <t>boolean</t>
        </is>
      </c>
      <c r="H971" s="2" t="inlineStr">
        <is>
          <t>NO</t>
        </is>
      </c>
      <c r="I971" s="2" t="inlineStr"/>
      <c r="J971" s="2" t="inlineStr">
        <is>
          <t>국가법령정보센터 Open API (www.law.go.kr) — 개정문 시행일 메타데이터 (KR-FinReg-QA v1에서 이식)</t>
        </is>
      </c>
      <c r="K971" s="2" t="inlineStr">
        <is>
          <t>amend:law:280277</t>
        </is>
      </c>
      <c r="L971" s="2" t="inlineStr">
        <is>
          <t>구규정 유효기간 2024-09-15~2026-12-16, 질의 시점 2026-12-31</t>
        </is>
      </c>
    </row>
    <row r="972">
      <c r="A972" s="2" t="inlineStr">
        <is>
          <t>REG-0971</t>
        </is>
      </c>
      <c r="B972" s="2" t="inlineStr">
        <is>
          <t>규정형</t>
        </is>
      </c>
      <c r="C972" s="2" t="inlineStr">
        <is>
          <t>퇴직연금</t>
        </is>
      </c>
      <c r="D972" s="2" t="inlineStr">
        <is>
          <t>법령 개정(신구조문)</t>
        </is>
      </c>
      <c r="E972" s="2" t="inlineStr">
        <is>
          <t>temporal_validity</t>
        </is>
      </c>
      <c r="F972" s="2" t="inlineStr">
        <is>
          <t>2026-04-15 기준으로 다음 규정이 유효한가? 「퇴직연금감독규정시행세칙 일부개정 제5조의2」 — 다른 집합투자기구를 통한 투자를 포함한 주식의 투자한도를 투자목표시점 이전에는 집합투자기구 자산총액의 100분의 80 이내, 투자목표시점 이후에는 100분의 40 이내로 하여야 한다</t>
        </is>
      </c>
      <c r="G972" s="2" t="inlineStr">
        <is>
          <t>boolean</t>
        </is>
      </c>
      <c r="H972" s="2" t="inlineStr">
        <is>
          <t>NO</t>
        </is>
      </c>
      <c r="I972" s="2" t="inlineStr"/>
      <c r="J972" s="2" t="inlineStr">
        <is>
          <t>국가법령정보센터 Open API (www.law.go.kr) — 개정문 시행일 메타데이터 (KR-FinReg-QA v1에서 이식)</t>
        </is>
      </c>
      <c r="K972" s="2" t="inlineStr">
        <is>
          <t>amend:law:2200000108661</t>
        </is>
      </c>
      <c r="L972" s="2" t="inlineStr">
        <is>
          <t>구규정 유효기간 2025-09-05~2026-03-31, 질의 시점 2026-04-15</t>
        </is>
      </c>
    </row>
    <row r="973">
      <c r="A973" s="2" t="inlineStr">
        <is>
          <t>REG-0972</t>
        </is>
      </c>
      <c r="B973" s="2" t="inlineStr">
        <is>
          <t>규정형</t>
        </is>
      </c>
      <c r="C973" s="2" t="inlineStr">
        <is>
          <t>퇴직연금</t>
        </is>
      </c>
      <c r="D973" s="2" t="inlineStr">
        <is>
          <t>법령 개정(신구조문)</t>
        </is>
      </c>
      <c r="E973" s="2" t="inlineStr">
        <is>
          <t>temporal_validity</t>
        </is>
      </c>
      <c r="F973" s="2" t="inlineStr">
        <is>
          <t>2023-03-15 기준으로 다음 규정이 유효한가? 「퇴직연금감독규정 일부개정 제15조의4제3호」 — 특정 퇴직연금사업자에게 제공하는 원리금보장 운용방법의 총액은 직전년도 기준 자신을 자산관리기관으로 하는 자산관리계약 총 적립금의 100분의 30을 넘지 않아야 한다</t>
        </is>
      </c>
      <c r="G973" s="2" t="inlineStr">
        <is>
          <t>boolean</t>
        </is>
      </c>
      <c r="H973" s="2" t="inlineStr">
        <is>
          <t>YES</t>
        </is>
      </c>
      <c r="I973" s="2" t="inlineStr"/>
      <c r="J973" s="2" t="inlineStr">
        <is>
          <t>국가법령정보센터 Open API (www.law.go.kr) — 개정문 시행일 메타데이터 (KR-FinReg-QA v1에서 이식)</t>
        </is>
      </c>
      <c r="K973" s="2" t="inlineStr">
        <is>
          <t>amend:law:2100000231486</t>
        </is>
      </c>
      <c r="L973" s="2" t="inlineStr">
        <is>
          <t>구규정 유효기간 2022-07-12~2023-11-15, 질의 시점 2023-03-15</t>
        </is>
      </c>
    </row>
    <row r="974">
      <c r="A974" s="2" t="inlineStr">
        <is>
          <t>REG-0973</t>
        </is>
      </c>
      <c r="B974" s="2" t="inlineStr">
        <is>
          <t>규정형</t>
        </is>
      </c>
      <c r="C974" s="2" t="inlineStr">
        <is>
          <t>공통</t>
        </is>
      </c>
      <c r="D974" s="2" t="inlineStr">
        <is>
          <t>법령 개정(신구조문)</t>
        </is>
      </c>
      <c r="E974" s="2" t="inlineStr">
        <is>
          <t>temporal_validity</t>
        </is>
      </c>
      <c r="F974" s="2" t="inlineStr">
        <is>
          <t>2026-05-12 기준으로 다음 규정이 유효한가? 「금융소비자 보호에 관한 법률 시행령 일부개정 제43조제2항」 — 제2항은 법 제57조제1항 각 호 외의 부분 단서의 '대통령령으로 정하는 경우'를 각 호로 정한다</t>
        </is>
      </c>
      <c r="G974" s="2" t="inlineStr">
        <is>
          <t>boolean</t>
        </is>
      </c>
      <c r="H974" s="2" t="inlineStr">
        <is>
          <t>NO</t>
        </is>
      </c>
      <c r="I974" s="2" t="inlineStr"/>
      <c r="J974" s="2" t="inlineStr">
        <is>
          <t>국가법령정보센터 Open API (www.law.go.kr) — 개정문 시행일 메타데이터 (KR-FinReg-QA v1에서 이식)</t>
        </is>
      </c>
      <c r="K974" s="2" t="inlineStr">
        <is>
          <t>amend:law:285715</t>
        </is>
      </c>
      <c r="L974" s="2" t="inlineStr">
        <is>
          <t>구규정 유효기간 2026-01-02~2026-04-27, 질의 시점 2026-05-12</t>
        </is>
      </c>
    </row>
    <row r="975">
      <c r="A975" s="2" t="inlineStr">
        <is>
          <t>REG-0974</t>
        </is>
      </c>
      <c r="B975" s="2" t="inlineStr">
        <is>
          <t>규정형</t>
        </is>
      </c>
      <c r="C975" s="2" t="inlineStr">
        <is>
          <t>공통</t>
        </is>
      </c>
      <c r="D975" s="2" t="inlineStr">
        <is>
          <t>법령 개정(신구조문)</t>
        </is>
      </c>
      <c r="E975" s="2" t="inlineStr">
        <is>
          <t>temporal_validity</t>
        </is>
      </c>
      <c r="F975" s="2" t="inlineStr">
        <is>
          <t>2026-12-31 기준으로 다음 규정이 유효한가? 「전자금융거래법 일부개정 제32조」 — 각 호의 어느 하나에 해당하는 자는 제28조 및 제29조에 따른 허가를 받거나 등록을 할 수 없다</t>
        </is>
      </c>
      <c r="G975" s="2" t="inlineStr">
        <is>
          <t>boolean</t>
        </is>
      </c>
      <c r="H975" s="2" t="inlineStr">
        <is>
          <t>NO</t>
        </is>
      </c>
      <c r="I975" s="2" t="inlineStr"/>
      <c r="J975" s="2" t="inlineStr">
        <is>
          <t>국가법령정보센터 Open API (www.law.go.kr) — 개정문 시행일 메타데이터 (KR-FinReg-QA v1에서 이식)</t>
        </is>
      </c>
      <c r="K975" s="2" t="inlineStr">
        <is>
          <t>amend:law:280277</t>
        </is>
      </c>
      <c r="L975" s="2" t="inlineStr">
        <is>
          <t>구규정 유효기간 2024-09-15~2026-12-16, 질의 시점 2026-12-31</t>
        </is>
      </c>
    </row>
    <row r="976">
      <c r="A976" s="2" t="inlineStr">
        <is>
          <t>REG-0975</t>
        </is>
      </c>
      <c r="B976" s="2" t="inlineStr">
        <is>
          <t>규정형</t>
        </is>
      </c>
      <c r="C976" s="2" t="inlineStr">
        <is>
          <t>퇴직연금</t>
        </is>
      </c>
      <c r="D976" s="2" t="inlineStr">
        <is>
          <t>법령 개정(신구조문)</t>
        </is>
      </c>
      <c r="E976" s="2" t="inlineStr">
        <is>
          <t>temporal_validity</t>
        </is>
      </c>
      <c r="F976" s="2" t="inlineStr">
        <is>
          <t>2023-03-15 기준으로 다음 규정이 유효한가? 「퇴직연금감독규정 일부개정 제13조제3항」 — 일정 사유로 제11조 및 제12조의 투자한도를 초과하는 경우 차기 운용방법 변경시기(수시 변경 가능 시 6월 이내)까지 한도 위반으로 보지 않는다</t>
        </is>
      </c>
      <c r="G976" s="2" t="inlineStr">
        <is>
          <t>boolean</t>
        </is>
      </c>
      <c r="H976" s="2" t="inlineStr">
        <is>
          <t>YES</t>
        </is>
      </c>
      <c r="I976" s="2" t="inlineStr"/>
      <c r="J976" s="2" t="inlineStr">
        <is>
          <t>국가법령정보센터 Open API (www.law.go.kr) — 개정문 시행일 메타데이터 (KR-FinReg-QA v1에서 이식)</t>
        </is>
      </c>
      <c r="K976" s="2" t="inlineStr">
        <is>
          <t>amend:law:2100000231486</t>
        </is>
      </c>
      <c r="L976" s="2" t="inlineStr">
        <is>
          <t>구규정 유효기간 2022-07-12~2023-11-15, 질의 시점 2023-03-15</t>
        </is>
      </c>
    </row>
    <row r="977">
      <c r="A977" s="2" t="inlineStr">
        <is>
          <t>REG-0976</t>
        </is>
      </c>
      <c r="B977" s="2" t="inlineStr">
        <is>
          <t>규정형</t>
        </is>
      </c>
      <c r="C977" s="2" t="inlineStr">
        <is>
          <t>퇴직연금</t>
        </is>
      </c>
      <c r="D977" s="2" t="inlineStr">
        <is>
          <t>법령 개정(신구조문)</t>
        </is>
      </c>
      <c r="E977" s="2" t="inlineStr">
        <is>
          <t>temporal_validity</t>
        </is>
      </c>
      <c r="F977" s="2" t="inlineStr">
        <is>
          <t>2023-03-15 기준으로 다음 규정이 유효한가? 「퇴직연금감독규정 일부개정 제13조제1항제2호」 — 동일 지방자치단체가 발행한 제9조제1항제1호의 지방채증권 및 동일 법인(한국은행 제외)이 발행한 제9조제1항제2호의 특수채증권의 투자한도는 각각 적립금의 100분의 30 이내이다</t>
        </is>
      </c>
      <c r="G977" s="2" t="inlineStr">
        <is>
          <t>boolean</t>
        </is>
      </c>
      <c r="H977" s="2" t="inlineStr">
        <is>
          <t>YES</t>
        </is>
      </c>
      <c r="I977" s="2" t="inlineStr"/>
      <c r="J977" s="2" t="inlineStr">
        <is>
          <t>국가법령정보센터 Open API (www.law.go.kr) — 개정문 시행일 메타데이터 (KR-FinReg-QA v1에서 이식)</t>
        </is>
      </c>
      <c r="K977" s="2" t="inlineStr">
        <is>
          <t>amend:law:2100000231486</t>
        </is>
      </c>
      <c r="L977" s="2" t="inlineStr">
        <is>
          <t>구규정 유효기간 2022-07-12~2023-11-15, 질의 시점 2023-03-15</t>
        </is>
      </c>
    </row>
    <row r="978">
      <c r="A978" s="2" t="inlineStr">
        <is>
          <t>REG-0977</t>
        </is>
      </c>
      <c r="B978" s="2" t="inlineStr">
        <is>
          <t>규정형</t>
        </is>
      </c>
      <c r="C978" s="2" t="inlineStr">
        <is>
          <t>공통</t>
        </is>
      </c>
      <c r="D978" s="2" t="inlineStr">
        <is>
          <t>법령 개정(신구조문)</t>
        </is>
      </c>
      <c r="E978" s="2" t="inlineStr">
        <is>
          <t>temporal_validity</t>
        </is>
      </c>
      <c r="F978" s="2" t="inlineStr">
        <is>
          <t>2026-12-31 기준으로 다음 규정이 유효한가? 「전자금융거래법 일부개정 제30조제4항」 — 제3항제1호에 해당하는 자가 제28조에 따라 등록 후 2분기 이상 계속하여 제3항제1호의 금융위원회가 정하는 기준을 초과하면 금융위원회에 신고하고 정해진 기한 내에 제3항제2호의 자본금요건을 갖추어야 한다</t>
        </is>
      </c>
      <c r="G978" s="2" t="inlineStr">
        <is>
          <t>boolean</t>
        </is>
      </c>
      <c r="H978" s="2" t="inlineStr">
        <is>
          <t>NO</t>
        </is>
      </c>
      <c r="I978" s="2" t="inlineStr"/>
      <c r="J978" s="2" t="inlineStr">
        <is>
          <t>국가법령정보센터 Open API (www.law.go.kr) — 개정문 시행일 메타데이터 (KR-FinReg-QA v1에서 이식)</t>
        </is>
      </c>
      <c r="K978" s="2" t="inlineStr">
        <is>
          <t>amend:law:280277</t>
        </is>
      </c>
      <c r="L978" s="2" t="inlineStr">
        <is>
          <t>구규정 유효기간 2024-09-15~2026-12-16, 질의 시점 2026-12-31</t>
        </is>
      </c>
    </row>
    <row r="979">
      <c r="A979" s="2" t="inlineStr">
        <is>
          <t>REG-0978</t>
        </is>
      </c>
      <c r="B979" s="2" t="inlineStr">
        <is>
          <t>규정형</t>
        </is>
      </c>
      <c r="C979" s="2" t="inlineStr">
        <is>
          <t>퇴직연금</t>
        </is>
      </c>
      <c r="D979" s="2" t="inlineStr">
        <is>
          <t>법령 개정(신구조문)</t>
        </is>
      </c>
      <c r="E979" s="2" t="inlineStr">
        <is>
          <t>temporal_validity</t>
        </is>
      </c>
      <c r="F979" s="2" t="inlineStr">
        <is>
          <t>2023-11-30 기준으로 다음 규정이 유효한가? 「퇴직연금감독규정 일부개정 제12조」 — 확정기여형·개인형퇴직연금에 대해 투자위험을 낮춘 운용방법(외국 국채, 주택저당증권 등), 투자금지 운용방법(지분증권, 전환사채, 사모집합투자증권 등)을 정하고, 집중투자 방지를 위해 특수채 등 증권 10%, 동일 법인 발행 증권 30%, 동일 계열기업군 발행 증권 40%의 가입자별 적립금 한도를 적용한다</t>
        </is>
      </c>
      <c r="G979" s="2" t="inlineStr">
        <is>
          <t>boolean</t>
        </is>
      </c>
      <c r="H979" s="2" t="inlineStr">
        <is>
          <t>NO</t>
        </is>
      </c>
      <c r="I979" s="2" t="inlineStr"/>
      <c r="J979" s="2" t="inlineStr">
        <is>
          <t>국가법령정보센터 Open API (www.law.go.kr) — 개정문 시행일 메타데이터 (KR-FinReg-QA v1에서 이식)</t>
        </is>
      </c>
      <c r="K979" s="2" t="inlineStr">
        <is>
          <t>amend:law:2100000231486</t>
        </is>
      </c>
      <c r="L979" s="2" t="inlineStr">
        <is>
          <t>구규정 유효기간 2022-07-12~2023-11-15, 질의 시점 2023-11-30</t>
        </is>
      </c>
    </row>
    <row r="980">
      <c r="A980" s="2" t="inlineStr">
        <is>
          <t>REG-0979</t>
        </is>
      </c>
      <c r="B980" s="2" t="inlineStr">
        <is>
          <t>규정형</t>
        </is>
      </c>
      <c r="C980" s="2" t="inlineStr">
        <is>
          <t>퇴직연금</t>
        </is>
      </c>
      <c r="D980" s="2" t="inlineStr">
        <is>
          <t>법령 개정(신구조문)</t>
        </is>
      </c>
      <c r="E980" s="2" t="inlineStr">
        <is>
          <t>temporal_validity</t>
        </is>
      </c>
      <c r="F980" s="2" t="inlineStr">
        <is>
          <t>2023-11-30 기준으로 다음 규정이 유효한가? 「퇴직연금감독규정 일부개정 제23조제1항제7호」 — 상품제공기관의 업무를 겸하는 퇴직연금사업자는 퇴직연금제도별로 자신이 제공(다른 퇴직연금사업자가 자산관리기관인 경우 포함)하고 있는 원리금보장 운용방법별 금리를 공시한다</t>
        </is>
      </c>
      <c r="G980" s="2" t="inlineStr">
        <is>
          <t>boolean</t>
        </is>
      </c>
      <c r="H980" s="2" t="inlineStr">
        <is>
          <t>NO</t>
        </is>
      </c>
      <c r="I980" s="2" t="inlineStr"/>
      <c r="J980" s="2" t="inlineStr">
        <is>
          <t>국가법령정보센터 Open API (www.law.go.kr) — 개정문 시행일 메타데이터 (KR-FinReg-QA v1에서 이식)</t>
        </is>
      </c>
      <c r="K980" s="2" t="inlineStr">
        <is>
          <t>amend:law:2100000231486</t>
        </is>
      </c>
      <c r="L980" s="2" t="inlineStr">
        <is>
          <t>구규정 유효기간 2022-07-12~2023-11-15, 질의 시점 2023-11-30</t>
        </is>
      </c>
    </row>
    <row r="981">
      <c r="A981" s="2" t="inlineStr">
        <is>
          <t>REG-0980</t>
        </is>
      </c>
      <c r="B981" s="2" t="inlineStr">
        <is>
          <t>규정형</t>
        </is>
      </c>
      <c r="C981" s="2" t="inlineStr">
        <is>
          <t>공통</t>
        </is>
      </c>
      <c r="D981" s="2" t="inlineStr">
        <is>
          <t>법령 개정(신구조문)</t>
        </is>
      </c>
      <c r="E981" s="2" t="inlineStr">
        <is>
          <t>temporal_validity</t>
        </is>
      </c>
      <c r="F981" s="2" t="inlineStr">
        <is>
          <t>2025-08-05 기준으로 다음 규정이 유효한가? 「대부업등 감독규정 시행세칙 일부개정 제5조」 — 대부업 등록신청서 첨부서류 제13호로 법 제18조의5제1항에 따라 협회에 가입하였음을 증명하는 서류를 제출해야 한다</t>
        </is>
      </c>
      <c r="G981" s="2" t="inlineStr">
        <is>
          <t>boolean</t>
        </is>
      </c>
      <c r="H981" s="2" t="inlineStr">
        <is>
          <t>NO</t>
        </is>
      </c>
      <c r="I981" s="2" t="inlineStr"/>
      <c r="J981" s="2" t="inlineStr">
        <is>
          <t>국가법령정보센터 Open API (www.law.go.kr) — 개정문 시행일 메타데이터 (KR-FinReg-QA v1에서 이식)</t>
        </is>
      </c>
      <c r="K981" s="2" t="inlineStr">
        <is>
          <t>amend:law:2200000107705</t>
        </is>
      </c>
      <c r="L981" s="2" t="inlineStr">
        <is>
          <t>구규정 유효기간 2023-01-18~2025-07-21, 질의 시점 2025-08-05</t>
        </is>
      </c>
    </row>
    <row r="982">
      <c r="A982" s="2" t="inlineStr">
        <is>
          <t>REG-0981</t>
        </is>
      </c>
      <c r="B982" s="2" t="inlineStr">
        <is>
          <t>규정형</t>
        </is>
      </c>
      <c r="C982" s="2" t="inlineStr">
        <is>
          <t>공통</t>
        </is>
      </c>
      <c r="D982" s="2" t="inlineStr">
        <is>
          <t>법령 개정(신구조문)</t>
        </is>
      </c>
      <c r="E982" s="2" t="inlineStr">
        <is>
          <t>temporal_validity</t>
        </is>
      </c>
      <c r="F982" s="2" t="inlineStr">
        <is>
          <t>2024-04-20 기준으로 다음 규정이 유효한가? 「대부업등 감독규정 시행세칙 일부개정 제5조」 — 등록신청 시 제10호 서류로 재무제표와 그 부속서류를 제출하여야 한다</t>
        </is>
      </c>
      <c r="G982" s="2" t="inlineStr">
        <is>
          <t>boolean</t>
        </is>
      </c>
      <c r="H982" s="2" t="inlineStr">
        <is>
          <t>YES</t>
        </is>
      </c>
      <c r="I982" s="2" t="inlineStr"/>
      <c r="J982" s="2" t="inlineStr">
        <is>
          <t>국가법령정보센터 Open API (www.law.go.kr) — 개정문 시행일 메타데이터 (KR-FinReg-QA v1에서 이식)</t>
        </is>
      </c>
      <c r="K982" s="2" t="inlineStr">
        <is>
          <t>amend:law:2200000107705</t>
        </is>
      </c>
      <c r="L982" s="2" t="inlineStr">
        <is>
          <t>구규정 유효기간 2023-01-18~2025-07-21, 질의 시점 2024-04-20</t>
        </is>
      </c>
    </row>
    <row r="983">
      <c r="A983" s="2" t="inlineStr">
        <is>
          <t>REG-0982</t>
        </is>
      </c>
      <c r="B983" s="2" t="inlineStr">
        <is>
          <t>규정형</t>
        </is>
      </c>
      <c r="C983" s="2" t="inlineStr">
        <is>
          <t>퇴직연금</t>
        </is>
      </c>
      <c r="D983" s="2" t="inlineStr">
        <is>
          <t>법령 개정(신구조문)</t>
        </is>
      </c>
      <c r="E983" s="2" t="inlineStr">
        <is>
          <t>temporal_validity</t>
        </is>
      </c>
      <c r="F983" s="2" t="inlineStr">
        <is>
          <t>2023-03-15 기준으로 다음 규정이 유효한가? 「퇴직연금감독규정 일부개정 제11조」 — 동일 법인 등이 발행한 증권(집합투자증권 제외)은 사용자별 적립금의 10% 이내로 투자할 수 있고, 투자한 지분증권 수는 동일 법인 발행 지분증권의 10%를 초과할 수 없다</t>
        </is>
      </c>
      <c r="G983" s="2" t="inlineStr">
        <is>
          <t>boolean</t>
        </is>
      </c>
      <c r="H983" s="2" t="inlineStr">
        <is>
          <t>YES</t>
        </is>
      </c>
      <c r="I983" s="2" t="inlineStr"/>
      <c r="J983" s="2" t="inlineStr">
        <is>
          <t>국가법령정보센터 Open API (www.law.go.kr) — 개정문 시행일 메타데이터 (KR-FinReg-QA v1에서 이식)</t>
        </is>
      </c>
      <c r="K983" s="2" t="inlineStr">
        <is>
          <t>amend:law:2100000231486</t>
        </is>
      </c>
      <c r="L983" s="2" t="inlineStr">
        <is>
          <t>구규정 유효기간 2022-07-12~2023-11-15, 질의 시점 2023-03-15</t>
        </is>
      </c>
    </row>
    <row r="984">
      <c r="A984" s="2" t="inlineStr">
        <is>
          <t>REG-0983</t>
        </is>
      </c>
      <c r="B984" s="2" t="inlineStr">
        <is>
          <t>규정형</t>
        </is>
      </c>
      <c r="C984" s="2" t="inlineStr">
        <is>
          <t>공통</t>
        </is>
      </c>
      <c r="D984" s="2" t="inlineStr">
        <is>
          <t>법령 개정(신구조문)</t>
        </is>
      </c>
      <c r="E984" s="2" t="inlineStr">
        <is>
          <t>temporal_validity</t>
        </is>
      </c>
      <c r="F984" s="2" t="inlineStr">
        <is>
          <t>2025-10-31 기준으로 다음 규정이 유효한가? 「전자금융거래법 일부개정 제51조제6호」 — 제36조의2제2호를 위반하여 경제적 이익을 부여하고 해당 금액을 별도관리하지 아니한 자를 처벌한다</t>
        </is>
      </c>
      <c r="G984" s="2" t="inlineStr">
        <is>
          <t>boolean</t>
        </is>
      </c>
      <c r="H984" s="2" t="inlineStr">
        <is>
          <t>YES</t>
        </is>
      </c>
      <c r="I984" s="2" t="inlineStr"/>
      <c r="J984" s="2" t="inlineStr">
        <is>
          <t>국가법령정보센터 Open API (www.law.go.kr) — 개정문 시행일 메타데이터 (KR-FinReg-QA v1에서 이식)</t>
        </is>
      </c>
      <c r="K984" s="2" t="inlineStr">
        <is>
          <t>amend:law:280277</t>
        </is>
      </c>
      <c r="L984" s="2" t="inlineStr">
        <is>
          <t>구규정 유효기간 2024-09-15~2026-12-16, 질의 시점 2025-10-31</t>
        </is>
      </c>
    </row>
    <row r="985">
      <c r="A985" s="2" t="inlineStr">
        <is>
          <t>REG-0984</t>
        </is>
      </c>
      <c r="B985" s="2" t="inlineStr">
        <is>
          <t>규정형</t>
        </is>
      </c>
      <c r="C985" s="2" t="inlineStr">
        <is>
          <t>공통</t>
        </is>
      </c>
      <c r="D985" s="2" t="inlineStr">
        <is>
          <t>법령 개정(신구조문)</t>
        </is>
      </c>
      <c r="E985" s="2" t="inlineStr">
        <is>
          <t>temporal_validity</t>
        </is>
      </c>
      <c r="F985" s="2" t="inlineStr">
        <is>
          <t>2024-04-20 기준으로 다음 규정이 유효한가? 「대부업등 감독규정 시행세칙 일부개정 제5조」 — 대부업 등록신청서 첨부서류 제13호로 법 제18조의5제1항에 따라 협회에 가입하였음을 증명하는 서류를 제출해야 한다</t>
        </is>
      </c>
      <c r="G985" s="2" t="inlineStr">
        <is>
          <t>boolean</t>
        </is>
      </c>
      <c r="H985" s="2" t="inlineStr">
        <is>
          <t>YES</t>
        </is>
      </c>
      <c r="I985" s="2" t="inlineStr"/>
      <c r="J985" s="2" t="inlineStr">
        <is>
          <t>국가법령정보센터 Open API (www.law.go.kr) — 개정문 시행일 메타데이터 (KR-FinReg-QA v1에서 이식)</t>
        </is>
      </c>
      <c r="K985" s="2" t="inlineStr">
        <is>
          <t>amend:law:2200000107705</t>
        </is>
      </c>
      <c r="L985" s="2" t="inlineStr">
        <is>
          <t>구규정 유효기간 2023-01-18~2025-07-21, 질의 시점 2024-04-20</t>
        </is>
      </c>
    </row>
    <row r="986">
      <c r="A986" s="2" t="inlineStr">
        <is>
          <t>REG-0985</t>
        </is>
      </c>
      <c r="B986" s="2" t="inlineStr">
        <is>
          <t>규정형</t>
        </is>
      </c>
      <c r="C986" s="2" t="inlineStr">
        <is>
          <t>퇴직연금</t>
        </is>
      </c>
      <c r="D986" s="2" t="inlineStr">
        <is>
          <t>법령 개정(신구조문)</t>
        </is>
      </c>
      <c r="E986" s="2" t="inlineStr">
        <is>
          <t>temporal_validity</t>
        </is>
      </c>
      <c r="F986" s="2" t="inlineStr">
        <is>
          <t>2023-03-15 기준으로 다음 규정이 유효한가? 「퇴직연금감독규정 일부개정 제11조」 — 자산관리계약을 「자본시장법시행령」 제103조제1호의 특정금전신탁계약으로 하는 경우 해당 자산관리기관이 원리금 지급을 보장하는 운용방법에는 투자할 수 없으며, 매매대상증권이 제1호부터 제3호까지의 분산요건을 갖춘 환매조건부매수계약은 제외한다</t>
        </is>
      </c>
      <c r="G986" s="2" t="inlineStr">
        <is>
          <t>boolean</t>
        </is>
      </c>
      <c r="H986" s="2" t="inlineStr">
        <is>
          <t>YES</t>
        </is>
      </c>
      <c r="I986" s="2" t="inlineStr"/>
      <c r="J986" s="2" t="inlineStr">
        <is>
          <t>국가법령정보센터 Open API (www.law.go.kr) — 개정문 시행일 메타데이터 (KR-FinReg-QA v1에서 이식)</t>
        </is>
      </c>
      <c r="K986" s="2" t="inlineStr">
        <is>
          <t>amend:law:2100000231486</t>
        </is>
      </c>
      <c r="L986" s="2" t="inlineStr">
        <is>
          <t>구규정 유효기간 2022-07-12~2023-11-15, 질의 시점 2023-03-15</t>
        </is>
      </c>
    </row>
    <row r="987">
      <c r="A987" s="2" t="inlineStr">
        <is>
          <t>REG-0986</t>
        </is>
      </c>
      <c r="B987" s="2" t="inlineStr">
        <is>
          <t>규정형</t>
        </is>
      </c>
      <c r="C987" s="2" t="inlineStr">
        <is>
          <t>퇴직연금</t>
        </is>
      </c>
      <c r="D987" s="2" t="inlineStr">
        <is>
          <t>법령 개정(신구조문)</t>
        </is>
      </c>
      <c r="E987" s="2" t="inlineStr">
        <is>
          <t>temporal_validity</t>
        </is>
      </c>
      <c r="F987" s="2" t="inlineStr">
        <is>
          <t>2023-11-30 기준으로 다음 규정이 유효한가? 「퇴직연금감독규정 일부개정 제8조의3제2항」 — 자산운용 성과에 따라 적립금 반환금액이 변동되는 경우 보험회사는 어떠한 형태로도 손실의 보전이나 이익의 보장을 약정할 수 없다</t>
        </is>
      </c>
      <c r="G987" s="2" t="inlineStr">
        <is>
          <t>boolean</t>
        </is>
      </c>
      <c r="H987" s="2" t="inlineStr">
        <is>
          <t>NO</t>
        </is>
      </c>
      <c r="I987" s="2" t="inlineStr"/>
      <c r="J987" s="2" t="inlineStr">
        <is>
          <t>국가법령정보센터 Open API (www.law.go.kr) — 개정문 시행일 메타데이터 (KR-FinReg-QA v1에서 이식)</t>
        </is>
      </c>
      <c r="K987" s="2" t="inlineStr">
        <is>
          <t>amend:law:2100000231486</t>
        </is>
      </c>
      <c r="L987" s="2" t="inlineStr">
        <is>
          <t>구규정 유효기간 2022-07-12~2023-11-15, 질의 시점 2023-11-30</t>
        </is>
      </c>
    </row>
    <row r="988">
      <c r="A988" s="2" t="inlineStr">
        <is>
          <t>REG-0987</t>
        </is>
      </c>
      <c r="B988" s="2" t="inlineStr">
        <is>
          <t>규정형</t>
        </is>
      </c>
      <c r="C988" s="2" t="inlineStr">
        <is>
          <t>퇴직연금</t>
        </is>
      </c>
      <c r="D988" s="2" t="inlineStr">
        <is>
          <t>법령 개정(신구조문)</t>
        </is>
      </c>
      <c r="E988" s="2" t="inlineStr">
        <is>
          <t>temporal_validity</t>
        </is>
      </c>
      <c r="F988" s="2" t="inlineStr">
        <is>
          <t>2023-03-15 기준으로 다음 규정이 유효한가? 「퇴직연금감독규정 일부개정 제13조제2항」 — 시장가치(공정가치) 변동으로 제11조 및 제12조의 투자한도를 초과하게 되더라도 한도 위반으로 보지 않으며, 운용관리기관은 운용지시자에게 즉시 통보해야 한다</t>
        </is>
      </c>
      <c r="G988" s="2" t="inlineStr">
        <is>
          <t>boolean</t>
        </is>
      </c>
      <c r="H988" s="2" t="inlineStr">
        <is>
          <t>YES</t>
        </is>
      </c>
      <c r="I988" s="2" t="inlineStr"/>
      <c r="J988" s="2" t="inlineStr">
        <is>
          <t>국가법령정보센터 Open API (www.law.go.kr) — 개정문 시행일 메타데이터 (KR-FinReg-QA v1에서 이식)</t>
        </is>
      </c>
      <c r="K988" s="2" t="inlineStr">
        <is>
          <t>amend:law:2100000231486</t>
        </is>
      </c>
      <c r="L988" s="2" t="inlineStr">
        <is>
          <t>구규정 유효기간 2022-07-12~2023-11-15, 질의 시점 2023-03-15</t>
        </is>
      </c>
    </row>
    <row r="989">
      <c r="A989" s="2" t="inlineStr">
        <is>
          <t>REG-0988</t>
        </is>
      </c>
      <c r="B989" s="2" t="inlineStr">
        <is>
          <t>규정형</t>
        </is>
      </c>
      <c r="C989" s="2" t="inlineStr">
        <is>
          <t>공통</t>
        </is>
      </c>
      <c r="D989" s="2" t="inlineStr">
        <is>
          <t>법령 개정(신구조문)</t>
        </is>
      </c>
      <c r="E989" s="2" t="inlineStr">
        <is>
          <t>temporal_validity</t>
        </is>
      </c>
      <c r="F989" s="2" t="inlineStr">
        <is>
          <t>2025-10-31 기준으로 다음 규정이 유효한가? 「전자금융거래법 일부개정 제51조제10호」 — 제51조 제10호는 제39조제3항(제29조제2항 준용 포함) 또는 제40조제3항·제4항에 따른 검사, 자료제출, 출석요구 및 조사를 거부·방해·기피한 자를 과태료 부과 대상으로 규정하였다</t>
        </is>
      </c>
      <c r="G989" s="2" t="inlineStr">
        <is>
          <t>boolean</t>
        </is>
      </c>
      <c r="H989" s="2" t="inlineStr">
        <is>
          <t>YES</t>
        </is>
      </c>
      <c r="I989" s="2" t="inlineStr"/>
      <c r="J989" s="2" t="inlineStr">
        <is>
          <t>국가법령정보센터 Open API (www.law.go.kr) — 개정문 시행일 메타데이터 (KR-FinReg-QA v1에서 이식)</t>
        </is>
      </c>
      <c r="K989" s="2" t="inlineStr">
        <is>
          <t>amend:law:280277</t>
        </is>
      </c>
      <c r="L989" s="2" t="inlineStr">
        <is>
          <t>구규정 유효기간 2024-09-15~2026-12-16, 질의 시점 2025-10-31</t>
        </is>
      </c>
    </row>
    <row r="990">
      <c r="A990" s="2" t="inlineStr">
        <is>
          <t>REG-0989</t>
        </is>
      </c>
      <c r="B990" s="2" t="inlineStr">
        <is>
          <t>규정형</t>
        </is>
      </c>
      <c r="C990" s="2" t="inlineStr">
        <is>
          <t>공통</t>
        </is>
      </c>
      <c r="D990" s="2" t="inlineStr">
        <is>
          <t>법령 개정(신구조문)</t>
        </is>
      </c>
      <c r="E990" s="2" t="inlineStr">
        <is>
          <t>temporal_validity</t>
        </is>
      </c>
      <c r="F990" s="2" t="inlineStr">
        <is>
          <t>2024-04-20 기준으로 다음 규정이 유효한가? 「대부업등 감독규정 시행세칙 일부개정 제5조」 — 등록신청 시 제4호 서류로 업무총괄사용인, 각 임원 및 출자자의 가족관계등록부 기본증명서를 제출하여야 한다</t>
        </is>
      </c>
      <c r="G990" s="2" t="inlineStr">
        <is>
          <t>boolean</t>
        </is>
      </c>
      <c r="H990" s="2" t="inlineStr">
        <is>
          <t>YES</t>
        </is>
      </c>
      <c r="I990" s="2" t="inlineStr"/>
      <c r="J990" s="2" t="inlineStr">
        <is>
          <t>국가법령정보센터 Open API (www.law.go.kr) — 개정문 시행일 메타데이터 (KR-FinReg-QA v1에서 이식)</t>
        </is>
      </c>
      <c r="K990" s="2" t="inlineStr">
        <is>
          <t>amend:law:2200000107705</t>
        </is>
      </c>
      <c r="L990" s="2" t="inlineStr">
        <is>
          <t>구규정 유효기간 2023-01-18~2025-07-21, 질의 시점 2024-04-20</t>
        </is>
      </c>
    </row>
    <row r="991">
      <c r="A991" s="2" t="inlineStr">
        <is>
          <t>REG-0990</t>
        </is>
      </c>
      <c r="B991" s="2" t="inlineStr">
        <is>
          <t>규정형</t>
        </is>
      </c>
      <c r="C991" s="2" t="inlineStr">
        <is>
          <t>퇴직연금</t>
        </is>
      </c>
      <c r="D991" s="2" t="inlineStr">
        <is>
          <t>법령 개정(신구조문)</t>
        </is>
      </c>
      <c r="E991" s="2" t="inlineStr">
        <is>
          <t>temporal_validity</t>
        </is>
      </c>
      <c r="F991" s="2" t="inlineStr">
        <is>
          <t>2023-03-15 기준으로 다음 규정이 유효한가? 「퇴직연금감독규정 일부개정 제11조」 — 사용자의 계열회사등이 발행한 증권(집합투자증권 제외)에 대한 투자한도는 사용자별 적립금의 5% 이내이며, 투자한 지분증권 수는 사용자의 계열회사등 발행 지분증권의 5%를 초과할 수 없다</t>
        </is>
      </c>
      <c r="G991" s="2" t="inlineStr">
        <is>
          <t>boolean</t>
        </is>
      </c>
      <c r="H991" s="2" t="inlineStr">
        <is>
          <t>YES</t>
        </is>
      </c>
      <c r="I991" s="2" t="inlineStr"/>
      <c r="J991" s="2" t="inlineStr">
        <is>
          <t>국가법령정보센터 Open API (www.law.go.kr) — 개정문 시행일 메타데이터 (KR-FinReg-QA v1에서 이식)</t>
        </is>
      </c>
      <c r="K991" s="2" t="inlineStr">
        <is>
          <t>amend:law:2100000231486</t>
        </is>
      </c>
      <c r="L991" s="2" t="inlineStr">
        <is>
          <t>구규정 유효기간 2022-07-12~2023-11-15, 질의 시점 2023-03-15</t>
        </is>
      </c>
    </row>
    <row r="992">
      <c r="A992" s="2" t="inlineStr">
        <is>
          <t>REG-0991</t>
        </is>
      </c>
      <c r="B992" s="2" t="inlineStr">
        <is>
          <t>규정형</t>
        </is>
      </c>
      <c r="C992" s="2" t="inlineStr">
        <is>
          <t>퇴직연금</t>
        </is>
      </c>
      <c r="D992" s="2" t="inlineStr">
        <is>
          <t>법령 개정(신구조문)</t>
        </is>
      </c>
      <c r="E992" s="2" t="inlineStr">
        <is>
          <t>temporal_validity</t>
        </is>
      </c>
      <c r="F992" s="2" t="inlineStr">
        <is>
          <t>2025-12-18 기준으로 다음 규정이 유효한가? 「퇴직연금감독규정시행세칙 일부개정 제5조의2」 — 다른 집합투자기구를 통한 투자를 포함한 주식의 투자한도를 투자목표시점 이전에는 집합투자기구 자산총액의 100분의 80 이내, 투자목표시점 이후에는 100분의 40 이내로 하여야 한다</t>
        </is>
      </c>
      <c r="G992" s="2" t="inlineStr">
        <is>
          <t>boolean</t>
        </is>
      </c>
      <c r="H992" s="2" t="inlineStr">
        <is>
          <t>YES</t>
        </is>
      </c>
      <c r="I992" s="2" t="inlineStr"/>
      <c r="J992" s="2" t="inlineStr">
        <is>
          <t>국가법령정보센터 Open API (www.law.go.kr) — 개정문 시행일 메타데이터 (KR-FinReg-QA v1에서 이식)</t>
        </is>
      </c>
      <c r="K992" s="2" t="inlineStr">
        <is>
          <t>amend:law:2200000108661</t>
        </is>
      </c>
      <c r="L992" s="2" t="inlineStr">
        <is>
          <t>구규정 유효기간 2025-09-05~2026-03-31, 질의 시점 2025-12-18</t>
        </is>
      </c>
    </row>
    <row r="993">
      <c r="A993" s="2" t="inlineStr">
        <is>
          <t>REG-0992</t>
        </is>
      </c>
      <c r="B993" s="2" t="inlineStr">
        <is>
          <t>규정형</t>
        </is>
      </c>
      <c r="C993" s="2" t="inlineStr">
        <is>
          <t>공통</t>
        </is>
      </c>
      <c r="D993" s="2" t="inlineStr">
        <is>
          <t>법령 개정(신구조문)</t>
        </is>
      </c>
      <c r="E993" s="2" t="inlineStr">
        <is>
          <t>temporal_validity</t>
        </is>
      </c>
      <c r="F993" s="2" t="inlineStr">
        <is>
          <t>2026-03-01 기준으로 다음 규정이 유효한가? 「금융소비자 보호에 관한 법률 시행령 일부개정 제43조제1항」 — 수입등 산정 대상은 명칭을 불문하고 계약 체결 및 그 이행으로 인해 금융소비자로부터 얻는 모든 형태의 금전등이며, 제37조제6항에 따른 비용은 제외한다</t>
        </is>
      </c>
      <c r="G993" s="2" t="inlineStr">
        <is>
          <t>boolean</t>
        </is>
      </c>
      <c r="H993" s="2" t="inlineStr">
        <is>
          <t>YES</t>
        </is>
      </c>
      <c r="I993" s="2" t="inlineStr"/>
      <c r="J993" s="2" t="inlineStr">
        <is>
          <t>국가법령정보센터 Open API (www.law.go.kr) — 개정문 시행일 메타데이터 (KR-FinReg-QA v1에서 이식)</t>
        </is>
      </c>
      <c r="K993" s="2" t="inlineStr">
        <is>
          <t>amend:law:285715</t>
        </is>
      </c>
      <c r="L993" s="2" t="inlineStr">
        <is>
          <t>구규정 유효기간 2026-01-02~2026-04-27, 질의 시점 2026-03-01</t>
        </is>
      </c>
    </row>
    <row r="994">
      <c r="A994" s="2" t="inlineStr">
        <is>
          <t>REG-0993</t>
        </is>
      </c>
      <c r="B994" s="2" t="inlineStr">
        <is>
          <t>규정형</t>
        </is>
      </c>
      <c r="C994" s="2" t="inlineStr">
        <is>
          <t>퇴직연금</t>
        </is>
      </c>
      <c r="D994" s="2" t="inlineStr">
        <is>
          <t>법령 개정(신구조문)</t>
        </is>
      </c>
      <c r="E994" s="2" t="inlineStr">
        <is>
          <t>temporal_validity</t>
        </is>
      </c>
      <c r="F994" s="2" t="inlineStr">
        <is>
          <t>2023-11-30 기준으로 다음 규정이 유효한가? 「퇴직연금감독규정 일부개정 제15조의4제2호」 — 제1호의 경우 다른 퇴직연금사업자에게 별도의 수수료 또는 이와 유사한 비용을 부과하지 아니하여야 한다</t>
        </is>
      </c>
      <c r="G994" s="2" t="inlineStr">
        <is>
          <t>boolean</t>
        </is>
      </c>
      <c r="H994" s="2" t="inlineStr">
        <is>
          <t>NO</t>
        </is>
      </c>
      <c r="I994" s="2" t="inlineStr"/>
      <c r="J994" s="2" t="inlineStr">
        <is>
          <t>국가법령정보센터 Open API (www.law.go.kr) — 개정문 시행일 메타데이터 (KR-FinReg-QA v1에서 이식)</t>
        </is>
      </c>
      <c r="K994" s="2" t="inlineStr">
        <is>
          <t>amend:law:2100000231486</t>
        </is>
      </c>
      <c r="L994" s="2" t="inlineStr">
        <is>
          <t>구규정 유효기간 2022-07-12~2023-11-15, 질의 시점 2023-11-30</t>
        </is>
      </c>
    </row>
    <row r="995">
      <c r="A995" s="2" t="inlineStr">
        <is>
          <t>REG-0994</t>
        </is>
      </c>
      <c r="B995" s="2" t="inlineStr">
        <is>
          <t>규정형</t>
        </is>
      </c>
      <c r="C995" s="2" t="inlineStr">
        <is>
          <t>공통</t>
        </is>
      </c>
      <c r="D995" s="2" t="inlineStr">
        <is>
          <t>법령 개정(신구조문)</t>
        </is>
      </c>
      <c r="E995" s="2" t="inlineStr">
        <is>
          <t>temporal_validity</t>
        </is>
      </c>
      <c r="F995" s="2" t="inlineStr">
        <is>
          <t>2026-05-12 기준으로 다음 규정이 유효한가? 「금융소비자 보호에 관한 법률 시행령 일부개정 제43조제2항제2호」 — 재해로 인해 수입등 산정에 필요한 자료가 소멸·훼손되는 등의 이유로 수입등 산정이 곤란한 경우를 제2항 제2호의 경우로 한다</t>
        </is>
      </c>
      <c r="G995" s="2" t="inlineStr">
        <is>
          <t>boolean</t>
        </is>
      </c>
      <c r="H995" s="2" t="inlineStr">
        <is>
          <t>NO</t>
        </is>
      </c>
      <c r="I995" s="2" t="inlineStr"/>
      <c r="J995" s="2" t="inlineStr">
        <is>
          <t>국가법령정보센터 Open API (www.law.go.kr) — 개정문 시행일 메타데이터 (KR-FinReg-QA v1에서 이식)</t>
        </is>
      </c>
      <c r="K995" s="2" t="inlineStr">
        <is>
          <t>amend:law:285715</t>
        </is>
      </c>
      <c r="L995" s="2" t="inlineStr">
        <is>
          <t>구규정 유효기간 2026-01-02~2026-04-27, 질의 시점 2026-05-12</t>
        </is>
      </c>
    </row>
    <row r="996">
      <c r="A996" s="2" t="inlineStr">
        <is>
          <t>REG-0995</t>
        </is>
      </c>
      <c r="B996" s="2" t="inlineStr">
        <is>
          <t>규정형</t>
        </is>
      </c>
      <c r="C996" s="2" t="inlineStr">
        <is>
          <t>공통</t>
        </is>
      </c>
      <c r="D996" s="2" t="inlineStr">
        <is>
          <t>법령 개정(신구조문)</t>
        </is>
      </c>
      <c r="E996" s="2" t="inlineStr">
        <is>
          <t>temporal_validity</t>
        </is>
      </c>
      <c r="F996" s="2" t="inlineStr">
        <is>
          <t>2025-10-31 기준으로 다음 규정이 유효한가? 「전자금융거래법 일부개정 제2조제19호」 — 전자지급결제대행은 전자적 방법으로 재화 구입 또는 용역 이용에 있어서 지급결제정보를 송신·수신하는 것 또는 그 대가의 정산을 대행하거나 매개하는 것을 말한다</t>
        </is>
      </c>
      <c r="G996" s="2" t="inlineStr">
        <is>
          <t>boolean</t>
        </is>
      </c>
      <c r="H996" s="2" t="inlineStr">
        <is>
          <t>YES</t>
        </is>
      </c>
      <c r="I996" s="2" t="inlineStr"/>
      <c r="J996" s="2" t="inlineStr">
        <is>
          <t>국가법령정보센터 Open API (www.law.go.kr) — 개정문 시행일 메타데이터 (KR-FinReg-QA v1에서 이식)</t>
        </is>
      </c>
      <c r="K996" s="2" t="inlineStr">
        <is>
          <t>amend:law:280277</t>
        </is>
      </c>
      <c r="L996" s="2" t="inlineStr">
        <is>
          <t>구규정 유효기간 2024-09-15~2026-12-16, 질의 시점 2025-10-31</t>
        </is>
      </c>
    </row>
    <row r="997">
      <c r="A997" s="2" t="inlineStr">
        <is>
          <t>REG-0996</t>
        </is>
      </c>
      <c r="B997" s="2" t="inlineStr">
        <is>
          <t>규정형</t>
        </is>
      </c>
      <c r="C997" s="2" t="inlineStr">
        <is>
          <t>퇴직연금</t>
        </is>
      </c>
      <c r="D997" s="2" t="inlineStr">
        <is>
          <t>법령 개정(신구조문)</t>
        </is>
      </c>
      <c r="E997" s="2" t="inlineStr">
        <is>
          <t>temporal_validity</t>
        </is>
      </c>
      <c r="F997" s="2" t="inlineStr">
        <is>
          <t>2023-11-30 기준으로 다음 규정이 유효한가? 「퇴직연금감독규정 일부개정 제15조의4제3호」 — 특정 퇴직연금사업자에게 제공하는 원리금보장 운용방법의 총액은 직전년도 기준 자신을 자산관리기관으로 하는 자산관리계약 총 적립금의 100분의 30을 넘지 않아야 한다</t>
        </is>
      </c>
      <c r="G997" s="2" t="inlineStr">
        <is>
          <t>boolean</t>
        </is>
      </c>
      <c r="H997" s="2" t="inlineStr">
        <is>
          <t>NO</t>
        </is>
      </c>
      <c r="I997" s="2" t="inlineStr"/>
      <c r="J997" s="2" t="inlineStr">
        <is>
          <t>국가법령정보센터 Open API (www.law.go.kr) — 개정문 시행일 메타데이터 (KR-FinReg-QA v1에서 이식)</t>
        </is>
      </c>
      <c r="K997" s="2" t="inlineStr">
        <is>
          <t>amend:law:2100000231486</t>
        </is>
      </c>
      <c r="L997" s="2" t="inlineStr">
        <is>
          <t>구규정 유효기간 2022-07-12~2023-11-15, 질의 시점 2023-11-30</t>
        </is>
      </c>
    </row>
    <row r="998">
      <c r="A998" s="2" t="inlineStr">
        <is>
          <t>REG-0997</t>
        </is>
      </c>
      <c r="B998" s="2" t="inlineStr">
        <is>
          <t>규정형</t>
        </is>
      </c>
      <c r="C998" s="2" t="inlineStr">
        <is>
          <t>공통</t>
        </is>
      </c>
      <c r="D998" s="2" t="inlineStr">
        <is>
          <t>법령 개정(신구조문)</t>
        </is>
      </c>
      <c r="E998" s="2" t="inlineStr">
        <is>
          <t>temporal_validity</t>
        </is>
      </c>
      <c r="F998" s="2" t="inlineStr">
        <is>
          <t>2026-12-31 기준으로 다음 규정이 유효한가? 「전자금융거래법 일부개정 제25조의2제1항」 — 선불업자는 선불충전금의 100분의 50 이상에 해당하는 금액으로서 대통령령으로 정하는 금액을 선불충전금관리기관을 통하여 각 호의 방법으로 별도관리하여야 한다</t>
        </is>
      </c>
      <c r="G998" s="2" t="inlineStr">
        <is>
          <t>boolean</t>
        </is>
      </c>
      <c r="H998" s="2" t="inlineStr">
        <is>
          <t>NO</t>
        </is>
      </c>
      <c r="I998" s="2" t="inlineStr"/>
      <c r="J998" s="2" t="inlineStr">
        <is>
          <t>국가법령정보센터 Open API (www.law.go.kr) — 개정문 시행일 메타데이터 (KR-FinReg-QA v1에서 이식)</t>
        </is>
      </c>
      <c r="K998" s="2" t="inlineStr">
        <is>
          <t>amend:law:280277</t>
        </is>
      </c>
      <c r="L998" s="2" t="inlineStr">
        <is>
          <t>구규정 유효기간 2024-09-15~2026-12-16, 질의 시점 2026-12-31</t>
        </is>
      </c>
    </row>
    <row r="999">
      <c r="A999" s="2" t="inlineStr">
        <is>
          <t>REG-0998</t>
        </is>
      </c>
      <c r="B999" s="2" t="inlineStr">
        <is>
          <t>규정형</t>
        </is>
      </c>
      <c r="C999" s="2" t="inlineStr">
        <is>
          <t>공통</t>
        </is>
      </c>
      <c r="D999" s="2" t="inlineStr">
        <is>
          <t>법령 개정(신구조문)</t>
        </is>
      </c>
      <c r="E999" s="2" t="inlineStr">
        <is>
          <t>temporal_validity</t>
        </is>
      </c>
      <c r="F999" s="2" t="inlineStr">
        <is>
          <t>2024-04-20 기준으로 다음 규정이 유효한가? 「대부업등 감독규정 시행세칙 일부개정 제5조」 — 등록신청 시 제3호 서류로 법인등기사항전부증명서를 제출하여야 한다</t>
        </is>
      </c>
      <c r="G999" s="2" t="inlineStr">
        <is>
          <t>boolean</t>
        </is>
      </c>
      <c r="H999" s="2" t="inlineStr">
        <is>
          <t>YES</t>
        </is>
      </c>
      <c r="I999" s="2" t="inlineStr"/>
      <c r="J999" s="2" t="inlineStr">
        <is>
          <t>국가법령정보센터 Open API (www.law.go.kr) — 개정문 시행일 메타데이터 (KR-FinReg-QA v1에서 이식)</t>
        </is>
      </c>
      <c r="K999" s="2" t="inlineStr">
        <is>
          <t>amend:law:2200000107705</t>
        </is>
      </c>
      <c r="L999" s="2" t="inlineStr">
        <is>
          <t>구규정 유효기간 2023-01-18~2025-07-21, 질의 시점 2024-04-20</t>
        </is>
      </c>
    </row>
    <row r="1000">
      <c r="A1000" s="2" t="inlineStr">
        <is>
          <t>REG-0999</t>
        </is>
      </c>
      <c r="B1000" s="2" t="inlineStr">
        <is>
          <t>규정형</t>
        </is>
      </c>
      <c r="C1000" s="2" t="inlineStr">
        <is>
          <t>퇴직연금</t>
        </is>
      </c>
      <c r="D1000" s="2" t="inlineStr">
        <is>
          <t>법령 개정(신구조문)</t>
        </is>
      </c>
      <c r="E1000" s="2" t="inlineStr">
        <is>
          <t>temporal_validity</t>
        </is>
      </c>
      <c r="F1000" s="2" t="inlineStr">
        <is>
          <t>2023-11-30 기준으로 다음 규정이 유효한가? 「퇴직연금감독규정 일부개정 제23조제4항」 — 감독원장은 공시내용이 사실과 달라 가입자 보호가 필요한 경우 공시 중단 또는 정정공시를 명할 수 있고, 퇴직연금사업자 및 협회는 그 명령 사실을 홈페이지에 최소 3영업일 이상 게시해야 한다</t>
        </is>
      </c>
      <c r="G1000" s="2" t="inlineStr">
        <is>
          <t>boolean</t>
        </is>
      </c>
      <c r="H1000" s="2" t="inlineStr">
        <is>
          <t>NO</t>
        </is>
      </c>
      <c r="I1000" s="2" t="inlineStr"/>
      <c r="J1000" s="2" t="inlineStr">
        <is>
          <t>국가법령정보센터 Open API (www.law.go.kr) — 개정문 시행일 메타데이터 (KR-FinReg-QA v1에서 이식)</t>
        </is>
      </c>
      <c r="K1000" s="2" t="inlineStr">
        <is>
          <t>amend:law:2100000231486</t>
        </is>
      </c>
      <c r="L1000" s="2" t="inlineStr">
        <is>
          <t>구규정 유효기간 2022-07-12~2023-11-15, 질의 시점 2023-11-30</t>
        </is>
      </c>
    </row>
    <row r="1001">
      <c r="A1001" s="2" t="inlineStr">
        <is>
          <t>REG-1000</t>
        </is>
      </c>
      <c r="B1001" s="2" t="inlineStr">
        <is>
          <t>규정형</t>
        </is>
      </c>
      <c r="C1001" s="2" t="inlineStr">
        <is>
          <t>퇴직연금</t>
        </is>
      </c>
      <c r="D1001" s="2" t="inlineStr">
        <is>
          <t>법령 개정(신구조문)</t>
        </is>
      </c>
      <c r="E1001" s="2" t="inlineStr">
        <is>
          <t>temporal_validity</t>
        </is>
      </c>
      <c r="F1001" s="2" t="inlineStr">
        <is>
          <t>2023-03-15 기준으로 다음 규정이 유효한가? 「퇴직연금감독규정 일부개정 제8조의2제2호」 — 제8조 각 호의 요건을 충족하는 금융기관이 발행한 「자본시장법」 제4조제7항제1호의 사채로서 다음 각 목의 요건을 갖춘 것에 한정하여 운용방법으로 인정한다</t>
        </is>
      </c>
      <c r="G1001" s="2" t="inlineStr">
        <is>
          <t>boolean</t>
        </is>
      </c>
      <c r="H1001" s="2" t="inlineStr">
        <is>
          <t>YES</t>
        </is>
      </c>
      <c r="I1001" s="2" t="inlineStr"/>
      <c r="J1001" s="2" t="inlineStr">
        <is>
          <t>국가법령정보센터 Open API (www.law.go.kr) — 개정문 시행일 메타데이터 (KR-FinReg-QA v1에서 이식)</t>
        </is>
      </c>
      <c r="K1001" s="2" t="inlineStr">
        <is>
          <t>amend:law:2100000231486</t>
        </is>
      </c>
      <c r="L1001" s="2" t="inlineStr">
        <is>
          <t>구규정 유효기간 2022-07-12~2023-11-15, 질의 시점 2023-03-15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0" customWidth="1" min="3" max="3"/>
  </cols>
  <sheetData>
    <row r="1">
      <c r="A1" s="1" t="inlineStr">
        <is>
          <t>구분</t>
        </is>
      </c>
      <c r="B1" s="1" t="inlineStr">
        <is>
          <t>값</t>
        </is>
      </c>
      <c r="C1" s="1" t="inlineStr">
        <is>
          <t>수식</t>
        </is>
      </c>
    </row>
    <row r="2">
      <c r="A2" s="2" t="inlineStr">
        <is>
          <t>총 문항</t>
        </is>
      </c>
      <c r="B2" s="2">
        <f>COUNTA(questions!A:A)-1</f>
        <v/>
      </c>
      <c r="C2" s="2" t="inlineStr"/>
    </row>
    <row r="3">
      <c r="A3" s="2" t="inlineStr">
        <is>
          <t>공시형</t>
        </is>
      </c>
      <c r="B3" s="2">
        <f>COUNTIF(questions!B:B,"공시형")</f>
        <v/>
      </c>
      <c r="C3" s="2" t="inlineStr"/>
    </row>
    <row r="4">
      <c r="A4" s="2" t="inlineStr">
        <is>
          <t>규정형</t>
        </is>
      </c>
      <c r="B4" s="2">
        <f>COUNTIF(questions!B:B,"규정형")</f>
        <v/>
      </c>
      <c r="C4" s="2" t="inlineStr"/>
    </row>
    <row r="5">
      <c r="A5" s="2" t="inlineStr">
        <is>
          <t>boolean</t>
        </is>
      </c>
      <c r="B5" s="2">
        <f>COUNTIF(questions!G:G,"boolean")</f>
        <v/>
      </c>
      <c r="C5" s="2" t="inlineStr"/>
    </row>
    <row r="6">
      <c r="A6" s="2" t="inlineStr">
        <is>
          <t xml:space="preserve">  YES</t>
        </is>
      </c>
      <c r="B6" s="2">
        <f>COUNTIF(questions!H:H,"YES")</f>
        <v/>
      </c>
      <c r="C6" s="2" t="inlineStr"/>
    </row>
    <row r="7">
      <c r="A7" s="2" t="inlineStr">
        <is>
          <t xml:space="preserve">  NO</t>
        </is>
      </c>
      <c r="B7" s="2">
        <f>COUNTIF(questions!H:H,"NO")</f>
        <v/>
      </c>
      <c r="C7" s="2" t="inlineStr"/>
    </row>
    <row r="8">
      <c r="A8" s="2" t="inlineStr">
        <is>
          <t>numeric</t>
        </is>
      </c>
      <c r="B8" s="2">
        <f>COUNTIF(questions!G:G,"numeric")</f>
        <v/>
      </c>
      <c r="C8" s="2" t="inlineStr"/>
    </row>
    <row r="9">
      <c r="A9" s="2" t="inlineStr">
        <is>
          <t>span</t>
        </is>
      </c>
      <c r="B9" s="2">
        <f>COUNTIF(questions!G:G,"span")</f>
        <v/>
      </c>
      <c r="C9" s="2" t="inlineStr"/>
    </row>
    <row r="10">
      <c r="A10" s="2" t="inlineStr">
        <is>
          <t>abstain</t>
        </is>
      </c>
      <c r="B10" s="2">
        <f>COUNTIF(questions!G:G,"abstain")</f>
        <v/>
      </c>
      <c r="C10" s="2" t="inlineStr"/>
    </row>
    <row r="11">
      <c r="A11" s="2" t="n"/>
      <c r="B11" s="2" t="n"/>
      <c r="C11" s="2" t="n"/>
    </row>
    <row r="12">
      <c r="A12" s="2" t="inlineStr">
        <is>
          <t>카테고리</t>
        </is>
      </c>
      <c r="B12" s="2" t="inlineStr">
        <is>
          <t>문항 수</t>
        </is>
      </c>
      <c r="C12" s="2" t="inlineStr"/>
    </row>
    <row r="13">
      <c r="A13" s="2" t="inlineStr">
        <is>
          <t>예금</t>
        </is>
      </c>
      <c r="B13" s="2">
        <f>COUNTIF(questions!C:C,"예금")</f>
        <v/>
      </c>
      <c r="C13" s="2" t="inlineStr"/>
    </row>
    <row r="14">
      <c r="A14" s="2" t="inlineStr">
        <is>
          <t>대출</t>
        </is>
      </c>
      <c r="B14" s="2">
        <f>COUNTIF(questions!C:C,"대출")</f>
        <v/>
      </c>
      <c r="C14" s="2" t="inlineStr"/>
    </row>
    <row r="15">
      <c r="A15" s="2" t="inlineStr">
        <is>
          <t>카드</t>
        </is>
      </c>
      <c r="B15" s="2">
        <f>COUNTIF(questions!C:C,"카드")</f>
        <v/>
      </c>
      <c r="C15" s="2" t="inlineStr"/>
    </row>
    <row r="16">
      <c r="A16" s="2" t="inlineStr">
        <is>
          <t>외환</t>
        </is>
      </c>
      <c r="B16" s="2">
        <f>COUNTIF(questions!C:C,"외환")</f>
        <v/>
      </c>
      <c r="C16" s="2" t="inlineStr"/>
    </row>
    <row r="17">
      <c r="A17" s="2" t="inlineStr">
        <is>
          <t>퇴직연금</t>
        </is>
      </c>
      <c r="B17" s="2">
        <f>COUNTIF(questions!C:C,"퇴직연금")</f>
        <v/>
      </c>
      <c r="C17" s="2" t="inlineStr"/>
    </row>
    <row r="18">
      <c r="A18" s="2" t="inlineStr">
        <is>
          <t>펀드</t>
        </is>
      </c>
      <c r="B18" s="2">
        <f>COUNTIF(questions!C:C,"펀드")</f>
        <v/>
      </c>
      <c r="C18" s="2" t="inlineStr"/>
    </row>
    <row r="19">
      <c r="A19" s="2" t="inlineStr">
        <is>
          <t>공통</t>
        </is>
      </c>
      <c r="B19" s="2">
        <f>COUNTIF(questions!C:C,"공통")</f>
        <v/>
      </c>
      <c r="C1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2026-08-17T14:31:07Z</dcterms:created>
  <dcterms:modified xmlns:dcterms="http://purl.org/dc/terms/" xmlns:xsi="http://www.w3.org/2001/XMLSchema-instance" xsi:type="dcterms:W3CDTF">2026-08-17T14:31:08Z</dcterms:modified>
</cp:coreProperties>
</file>