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ard" sheetId="1" state="visible" r:id="rId1"/>
    <sheet xmlns:r="http://schemas.openxmlformats.org/officeDocument/2006/relationships" name="curated" sheetId="2" state="visible" r:id="rId2"/>
    <sheet xmlns:r="http://schemas.openxmlformats.org/officeDocument/2006/relationships" name="mcq" sheetId="3" state="visible" r:id="rId3"/>
    <sheet xmlns:r="http://schemas.openxmlformats.org/officeDocument/2006/relationships" name="market" sheetId="4" state="visible" r:id="rId4"/>
    <sheet xmlns:r="http://schemas.openxmlformats.org/officeDocument/2006/relationships" name="krfinreg_bank" sheetId="5" state="visible" r:id="rId5"/>
    <sheet xmlns:r="http://schemas.openxmlformats.org/officeDocument/2006/relationships" name="statistics" sheetId="6" state="visible" r:id="rId6"/>
    <sheet xmlns:r="http://schemas.openxmlformats.org/officeDocument/2006/relationships" name="base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dataset_name</t>
        </is>
      </c>
      <c r="B2" s="2" t="inlineStr">
        <is>
          <t>Bank-Onto-Bench</t>
        </is>
      </c>
    </row>
    <row r="3">
      <c r="A3" s="2" t="inlineStr">
        <is>
          <t>version</t>
        </is>
      </c>
      <c r="B3" s="2" t="inlineStr">
        <is>
          <t>1.0</t>
        </is>
      </c>
    </row>
    <row r="4">
      <c r="A4" s="2" t="inlineStr">
        <is>
          <t>description</t>
        </is>
      </c>
      <c r="B4" s="2" t="inlineStr">
        <is>
          <t>FIBO 스타일 한국 은행권 온톨로지 기반 3-way RAG 벤치마크 (벡터 RAG vs Graph RAG(LPG) vs 온톨로지 RAG). 검색 계층(근거 재현율, LLM 없이 결정적)과 답변 계층(MCQ·판정형)을 분리 측정.</t>
        </is>
      </c>
    </row>
    <row r="5">
      <c r="A5" s="2" t="inlineStr">
        <is>
          <t>subsets</t>
        </is>
      </c>
      <c r="B5" s="2" t="inlineStr">
        <is>
          <t>curated(18+NEG 2) / mcq(18+NEG 2) / market(8, 자동생성) / krfinreg_bank(76, 판정형)</t>
        </is>
      </c>
    </row>
    <row r="6">
      <c r="A6" s="2" t="inlineStr">
        <is>
          <t>knowledge_base</t>
        </is>
      </c>
      <c r="B6" s="2" t="inlineStr">
        <is>
          <t>ontology/*.ttl + examples/*.ttl + data/market-instances.ttl (금감원 금융상품통합비교공시 202608, 은행권 topFinGrpNo=020000, 은행 19개·상품 215개·금리옵션 660개)</t>
        </is>
      </c>
    </row>
    <row r="7">
      <c r="A7" s="2" t="inlineStr">
        <is>
          <t>gold_policy</t>
        </is>
      </c>
      <c r="B7" s="2" t="inlineStr">
        <is>
          <t>curated: 수작업 gold evidence 문자열. market: 적재 데이터에서 SPARQL로 자동 산출(데이터 갱신 시 정답 자동 갱신). krfinreg_bank: 원본(KR-FinReg-QA, 202607 공시)의 근거 문구를 202608 공시에서 재검증 후 이식 — 문구가 소실된 문항은 자동 탈락(정답 부패 방지). 지식층은 정답 산출에 관여하지 않음.</t>
        </is>
      </c>
    </row>
    <row r="8">
      <c r="A8" s="2" t="inlineStr">
        <is>
          <t>scoring</t>
        </is>
      </c>
      <c r="B8" s="2" t="inlineStr">
        <is>
          <t>검색 계층: 근거 재현율(gold 문자열의 컨텍스트 포함 여부, 결정적). 답변 계층: MCQ 정답 기호 일치 + KR-FinReg YES/NO/ABSTAIN 판정 일치(결정적), 보조로 LLM-as-judge.</t>
        </is>
      </c>
    </row>
    <row r="9">
      <c r="A9" s="2" t="inlineStr">
        <is>
          <t>provenance</t>
        </is>
      </c>
      <c r="B9" s="2" t="inlineStr">
        <is>
          <t>curated·mcq: 본 저장소 수작업. market: finlife.fss.or.kr Open API. krfinreg_bank: KR-FinReg-QA v1(석사논문 벤치마크, 동일 API 출처)에서 은행 문항 80개 중 76개 이식(4개는 상품이 202608 공시에서 제외되어 탈락).</t>
        </is>
      </c>
    </row>
    <row r="10">
      <c r="A10" s="2" t="inlineStr">
        <is>
          <t>determinism</t>
        </is>
      </c>
      <c r="B10" s="2" t="inlineStr">
        <is>
          <t>모든 검색 계층 평가는 PYTHONHASHSEED와 무관하게 재현됨 (tests/test_retrievers.py가 검증).</t>
        </is>
      </c>
    </row>
    <row r="11">
      <c r="A11" s="2" t="inlineStr">
        <is>
          <t>license_note</t>
        </is>
      </c>
      <c r="B11" s="2" t="inlineStr">
        <is>
          <t>시장 데이터는 금융감독원 공공데이터(공공누리). 문항 저작은 저장소 소유자.</t>
        </is>
      </c>
    </row>
    <row r="12">
      <c r="A12" s="2" t="inlineStr">
        <is>
          <t>generated_by</t>
        </is>
      </c>
      <c r="B12" s="2" t="inlineStr">
        <is>
          <t>python scripts/export_benchmark_xlsx.py</t>
        </is>
      </c>
    </row>
    <row r="13">
      <c r="A13" s="2" t="inlineStr">
        <is>
          <t>date</t>
        </is>
      </c>
      <c r="B13" s="2" t="inlineStr">
        <is>
          <t>2026-08-17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0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gold_evidence</t>
        </is>
      </c>
      <c r="E1" s="1" t="inlineStr">
        <is>
          <t>reference_answer</t>
        </is>
      </c>
    </row>
    <row r="2">
      <c r="A2" s="2" t="inlineStr">
        <is>
          <t>DEF-1</t>
        </is>
      </c>
      <c r="B2" s="2" t="inlineStr">
        <is>
          <t>DEF</t>
        </is>
      </c>
      <c r="C2" s="2" t="inlineStr">
        <is>
          <t>DSR이 뭐야?</t>
        </is>
      </c>
      <c r="D2" s="2" t="inlineStr">
        <is>
          <t>총부채원리금상환비율 || 연소득</t>
        </is>
      </c>
      <c r="E2" s="2" t="inlineStr">
        <is>
          <t>DSR(총부채원리금상환비율)은 연소득 대비 전체 대출의 원리금 상환액 비율이다.</t>
        </is>
      </c>
    </row>
    <row r="3">
      <c r="A3" s="2" t="inlineStr">
        <is>
          <t>DEF-2</t>
        </is>
      </c>
      <c r="B3" s="2" t="inlineStr">
        <is>
          <t>DEF</t>
        </is>
      </c>
      <c r="C3" s="2" t="inlineStr">
        <is>
          <t>휴면 상태의 계좌란 어떤 거야?</t>
        </is>
      </c>
      <c r="D3" s="2" t="inlineStr">
        <is>
          <t>장기간 거래가 없어</t>
        </is>
      </c>
      <c r="E3" s="2" t="inlineStr">
        <is>
          <t>장기간 거래가 없어 휴면 처리된 상태의 계좌.</t>
        </is>
      </c>
    </row>
    <row r="4">
      <c r="A4" s="2" t="inlineStr">
        <is>
          <t>DEF-3</t>
        </is>
      </c>
      <c r="B4" s="2" t="inlineStr">
        <is>
          <t>DEF</t>
        </is>
      </c>
      <c r="C4" s="2" t="inlineStr">
        <is>
          <t>의심거래보고는 어디에 하는 거야?</t>
        </is>
      </c>
      <c r="D4" s="2" t="inlineStr">
        <is>
          <t>금융정보분석원</t>
        </is>
      </c>
      <c r="E4" s="2" t="inlineStr">
        <is>
          <t>자금세탁이 의심되는 거래를 금융정보분석원(KoFIU)에 보고한다.</t>
        </is>
      </c>
    </row>
    <row r="5">
      <c r="A5" s="2" t="inlineStr">
        <is>
          <t>HIER-1</t>
        </is>
      </c>
      <c r="B5" s="2" t="inlineStr">
        <is>
          <t>HIER</t>
        </is>
      </c>
      <c r="C5" s="2" t="inlineStr">
        <is>
          <t>우리나라 은행의 종류를 모두 알려줘</t>
        </is>
      </c>
      <c r="D5" s="2" t="inlineStr">
        <is>
          <t>시중은행 || 지방은행 || 인터넷전문은행 || 특수은행</t>
        </is>
      </c>
      <c r="E5" s="2" t="inlineStr">
        <is>
          <t>시중은행, 지방은행, 인터넷전문은행, 특수은행.</t>
        </is>
      </c>
    </row>
    <row r="6">
      <c r="A6" s="2" t="inlineStr">
        <is>
          <t>HIER-2</t>
        </is>
      </c>
      <c r="B6" s="2" t="inlineStr">
        <is>
          <t>HIER</t>
        </is>
      </c>
      <c r="C6" s="2" t="inlineStr">
        <is>
          <t>수신상품에는 어떤 종류가 있어?</t>
        </is>
      </c>
      <c r="D6" s="2" t="inlineStr">
        <is>
          <t>요구불예금 || 정기예금 || 정기적금 || MMDA || 외화예금</t>
        </is>
      </c>
      <c r="E6" s="2" t="inlineStr">
        <is>
          <t>요구불예금(보통예금·당좌예금·MMDA), 정기예금, 정기적금, 외화예금.</t>
        </is>
      </c>
    </row>
    <row r="7">
      <c r="A7" s="2" t="inlineStr">
        <is>
          <t>HIER-3</t>
        </is>
      </c>
      <c r="B7" s="2" t="inlineStr">
        <is>
          <t>HIER</t>
        </is>
      </c>
      <c r="C7" s="2" t="inlineStr">
        <is>
          <t>대출 상환방식에는 어떤 것들이 있어?</t>
        </is>
      </c>
      <c r="D7" s="2" t="inlineStr">
        <is>
          <t>원리금균등 || 원금균등 || 만기일시</t>
        </is>
      </c>
      <c r="E7" s="2" t="inlineStr">
        <is>
          <t>원리금균등분할상환, 원금균등분할상환, 만기일시상환.</t>
        </is>
      </c>
    </row>
    <row r="8">
      <c r="A8" s="2" t="inlineStr">
        <is>
          <t>HIER-4</t>
        </is>
      </c>
      <c r="B8" s="2" t="inlineStr">
        <is>
          <t>HIER</t>
        </is>
      </c>
      <c r="C8" s="2" t="inlineStr">
        <is>
          <t>여신상품 종류를 전부 나열해줘</t>
        </is>
      </c>
      <c r="D8" s="2" t="inlineStr">
        <is>
          <t>신용대출 || 담보대출 || 주택담보대출 || 전세자금대출 || 기업대출 || 마이너스통장</t>
        </is>
      </c>
      <c r="E8" s="2" t="inlineStr">
        <is>
          <t>신용대출, 담보대출(주택담보대출 포함), 전세자금대출, 기업대출, 마이너스통장(한도대출).</t>
        </is>
      </c>
    </row>
    <row r="9">
      <c r="A9" s="2" t="inlineStr">
        <is>
          <t>HOP-1</t>
        </is>
      </c>
      <c r="B9" s="2" t="inlineStr">
        <is>
          <t>MULTIHOP</t>
        </is>
      </c>
      <c r="C9" s="2" t="inlineStr">
        <is>
          <t>김민준이 받은 대출의 담보 가치는 얼마야?</t>
        </is>
      </c>
      <c r="D9" s="2" t="inlineStr">
        <is>
          <t>500000000</t>
        </is>
      </c>
      <c r="E9" s="2" t="inlineStr">
        <is>
          <t>담보(서울시 소재 아파트)의 감정가는 5억 원(500,000,000)이다.</t>
        </is>
      </c>
    </row>
    <row r="10">
      <c r="A10" s="2" t="inlineStr">
        <is>
          <t>HOP-2</t>
        </is>
      </c>
      <c r="B10" s="2" t="inlineStr">
        <is>
          <t>MULTIHOP</t>
        </is>
      </c>
      <c r="C10" s="2" t="inlineStr">
        <is>
          <t>김민준 대출 금리는 어떤 기준금리에 연동돼?</t>
        </is>
      </c>
      <c r="D10" s="2" t="inlineStr">
        <is>
          <t>COFIX</t>
        </is>
      </c>
      <c r="E10" s="2" t="inlineStr">
        <is>
          <t>COFIX(신규취급액 기준)에 연동된 변동금리다.</t>
        </is>
      </c>
    </row>
    <row r="11">
      <c r="A11" s="2" t="inlineStr">
        <is>
          <t>HOP-3</t>
        </is>
      </c>
      <c r="B11" s="2" t="inlineStr">
        <is>
          <t>MULTIHOP</t>
        </is>
      </c>
      <c r="C11" s="2" t="inlineStr">
        <is>
          <t>김민준이 가입한 정기예금 상품의 금리는 몇 %야?</t>
        </is>
      </c>
      <c r="D11" s="2" t="inlineStr">
        <is>
          <t>3.50</t>
        </is>
      </c>
      <c r="E11" s="2" t="inlineStr">
        <is>
          <t>한빛 정기예금, 연 3.50% 고정금리.</t>
        </is>
      </c>
    </row>
    <row r="12">
      <c r="A12" s="2" t="inlineStr">
        <is>
          <t>HOP-4</t>
        </is>
      </c>
      <c r="B12" s="2" t="inlineStr">
        <is>
          <t>MULTIHOP</t>
        </is>
      </c>
      <c r="C12" s="2" t="inlineStr">
        <is>
          <t>김민준의 이체 거래는 어떤 채널에서 실행됐어?</t>
        </is>
      </c>
      <c r="D12" s="2" t="inlineStr">
        <is>
          <t>모바일뱅킹</t>
        </is>
      </c>
      <c r="E12" s="2" t="inlineStr">
        <is>
          <t>모바일뱅킹 채널에서 실행되었다.</t>
        </is>
      </c>
    </row>
    <row r="13">
      <c r="A13" s="2" t="inlineStr">
        <is>
          <t>HOP-5</t>
        </is>
      </c>
      <c r="B13" s="2" t="inlineStr">
        <is>
          <t>MULTIHOP</t>
        </is>
      </c>
      <c r="C13" s="2" t="inlineStr">
        <is>
          <t>김민준 주택담보대출의 상환방식과 만기일은?</t>
        </is>
      </c>
      <c r="D13" s="2" t="inlineStr">
        <is>
          <t>원리금균등 || 2055-03-01</t>
        </is>
      </c>
      <c r="E13" s="2" t="inlineStr">
        <is>
          <t>원리금균등분할상환, 만기일 2055-03-01.</t>
        </is>
      </c>
    </row>
    <row r="14">
      <c r="A14" s="2" t="inlineStr">
        <is>
          <t>AGG-1</t>
        </is>
      </c>
      <c r="B14" s="2" t="inlineStr">
        <is>
          <t>AGG</t>
        </is>
      </c>
      <c r="C14" s="2" t="inlineStr">
        <is>
          <t>예금자보호가 적용되는 상품은 어떤 거야?</t>
        </is>
      </c>
      <c r="D14" s="2" t="inlineStr">
        <is>
          <t>한빛 정기예금</t>
        </is>
      </c>
      <c r="E14" s="2" t="inlineStr">
        <is>
          <t>한빛 정기예금(예금자보호 여부 true).</t>
        </is>
      </c>
    </row>
    <row r="15">
      <c r="A15" s="2" t="inlineStr">
        <is>
          <t>AGG-2</t>
        </is>
      </c>
      <c r="B15" s="2" t="inlineStr">
        <is>
          <t>AGG</t>
        </is>
      </c>
      <c r="C15" s="2" t="inlineStr">
        <is>
          <t>LTV가 적용된 대출 계약의 LTV 값은?</t>
        </is>
      </c>
      <c r="D15" s="2" t="inlineStr">
        <is>
          <t>60.0</t>
        </is>
      </c>
      <c r="E15" s="2" t="inlineStr">
        <is>
          <t>김민준의 주택담보대출계약, LTV 60.0%.</t>
        </is>
      </c>
    </row>
    <row r="16">
      <c r="A16" s="2" t="inlineStr">
        <is>
          <t>AGG-3</t>
        </is>
      </c>
      <c r="B16" s="2" t="inlineStr">
        <is>
          <t>AGG</t>
        </is>
      </c>
      <c r="C16" s="2" t="inlineStr">
        <is>
          <t>김민준이 보유한 계좌를 모두 알려줘</t>
        </is>
      </c>
      <c r="D16" s="2" t="inlineStr">
        <is>
          <t>Account_KimMinjun_TD || Account_KimMinjun_DD</t>
        </is>
      </c>
      <c r="E16" s="2" t="inlineStr">
        <is>
          <t>정기예금계좌(ex:Account_KimMinjun_TD)와 요구불예금계좌(ex:Account_KimMinjun_DD), 총 2개.</t>
        </is>
      </c>
    </row>
    <row r="17">
      <c r="A17" s="2" t="inlineStr">
        <is>
          <t>SCH-1</t>
        </is>
      </c>
      <c r="B17" s="2" t="inlineStr">
        <is>
          <t>SCHEMA</t>
        </is>
      </c>
      <c r="C17" s="2" t="inlineStr">
        <is>
          <t>대출계약을 등록하려면 어떤 당사자 정보가 필요해?</t>
        </is>
      </c>
      <c r="D17" s="2" t="inlineStr">
        <is>
          <t>차주 || 대주</t>
        </is>
      </c>
      <c r="E17" s="2" t="inlineStr">
        <is>
          <t>차주(hasBorrower, 1인 이상 필수)와 대주(hasLender, 필수), 선택적으로 보증인.</t>
        </is>
      </c>
    </row>
    <row r="18">
      <c r="A18" s="2" t="inlineStr">
        <is>
          <t>SCH-2</t>
        </is>
      </c>
      <c r="B18" s="2" t="inlineStr">
        <is>
          <t>SCHEMA</t>
        </is>
      </c>
      <c r="C18" s="2" t="inlineStr">
        <is>
          <t>주택담보대출계약은 어떤 계약의 하위 개념이야?</t>
        </is>
      </c>
      <c r="D18" s="2" t="inlineStr">
        <is>
          <t>담보대출계약</t>
        </is>
      </c>
      <c r="E18" s="2" t="inlineStr">
        <is>
          <t>담보대출계약(SecuredLoanContract)의 하위이며, 그 위로 대출계약 → 금융계약 → 계약으로 이어진다.</t>
        </is>
      </c>
    </row>
    <row r="19">
      <c r="A19" s="2" t="inlineStr">
        <is>
          <t>SCH-3</t>
        </is>
      </c>
      <c r="B19" s="2" t="inlineStr">
        <is>
          <t>SCHEMA</t>
        </is>
      </c>
      <c r="C19" s="2" t="inlineStr">
        <is>
          <t>정기적금계좌의 월 납입액은 어떤 속성으로 기록해?</t>
        </is>
      </c>
      <c r="D19" s="2" t="inlineStr">
        <is>
          <t>hasMonthlyInstallmentAmount</t>
        </is>
      </c>
      <c r="E19" s="2" t="inlineStr">
        <is>
          <t>accounts:hasMonthlyInstallmentAmount 속성.</t>
        </is>
      </c>
    </row>
    <row r="20">
      <c r="A20" s="2" t="inlineStr">
        <is>
          <t>NEG-1</t>
        </is>
      </c>
      <c r="B20" s="2" t="inlineStr">
        <is>
          <t>NEG</t>
        </is>
      </c>
      <c r="C20" s="2" t="inlineStr">
        <is>
          <t>리볼빙 결제 수수료율이 몇 %야?</t>
        </is>
      </c>
      <c r="D20" s="2" t="inlineStr">
        <is>
          <t>(없음 — 빈 컨텍스트가 정답)</t>
        </is>
      </c>
      <c r="E20" s="2" t="inlineStr">
        <is>
          <t>온톨로지에 리볼빙 관련 개념이 없다 — 모른다고 답해야 함.</t>
        </is>
      </c>
    </row>
    <row r="21">
      <c r="A21" s="2" t="inlineStr">
        <is>
          <t>NEG-2</t>
        </is>
      </c>
      <c r="B21" s="2" t="inlineStr">
        <is>
          <t>NEG</t>
        </is>
      </c>
      <c r="C21" s="2" t="inlineStr">
        <is>
          <t>펀드 판매보수는 얼마야?</t>
        </is>
      </c>
      <c r="D21" s="2" t="inlineStr">
        <is>
          <t>(없음 — 빈 컨텍스트가 정답)</t>
        </is>
      </c>
      <c r="E21" s="2" t="inlineStr">
        <is>
          <t>온톨로지에 펀드 관련 개념이 없다 — 모른다고 답해야 함.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8" customWidth="1" min="4" max="4"/>
    <col width="28" customWidth="1" min="5" max="5"/>
    <col width="2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answer</t>
        </is>
      </c>
    </row>
    <row r="2">
      <c r="A2" s="2" t="inlineStr">
        <is>
          <t>DEF-1</t>
        </is>
      </c>
      <c r="B2" s="2" t="inlineStr">
        <is>
          <t>DSR이 뭐야?</t>
        </is>
      </c>
      <c r="C2" s="2" t="inlineStr">
        <is>
          <t>연소득 대비 전체 대출의 원리금 상환액 비율</t>
        </is>
      </c>
      <c r="D2" s="2" t="inlineStr">
        <is>
          <t>담보물 가치 대비 대출 가능 금액의 비율</t>
        </is>
      </c>
      <c r="E2" s="2" t="inlineStr">
        <is>
          <t>연소득 대비 주택담보대출 원리금과 기타부채 이자 상환액의 비율</t>
        </is>
      </c>
      <c r="F2" s="2" t="inlineStr">
        <is>
          <t>위험가중자산 대비 자기자본의 비율</t>
        </is>
      </c>
      <c r="G2" s="2" t="inlineStr">
        <is>
          <t>A</t>
        </is>
      </c>
    </row>
    <row r="3">
      <c r="A3" s="2" t="inlineStr">
        <is>
          <t>DEF-2</t>
        </is>
      </c>
      <c r="B3" s="2" t="inlineStr">
        <is>
          <t>휴면 상태의 계좌란 어떤 거야?</t>
        </is>
      </c>
      <c r="C3" s="2" t="inlineStr">
        <is>
          <t>법적 조치로 지급이 정지된 계좌</t>
        </is>
      </c>
      <c r="D3" s="2" t="inlineStr">
        <is>
          <t>장기간 거래가 없어 휴면 처리된 계좌</t>
        </is>
      </c>
      <c r="E3" s="2" t="inlineStr">
        <is>
          <t>해지 절차가 진행 중인 계좌</t>
        </is>
      </c>
      <c r="F3" s="2" t="inlineStr">
        <is>
          <t>한도가 초과된 계좌</t>
        </is>
      </c>
      <c r="G3" s="2" t="inlineStr">
        <is>
          <t>B</t>
        </is>
      </c>
    </row>
    <row r="4">
      <c r="A4" s="2" t="inlineStr">
        <is>
          <t>DEF-3</t>
        </is>
      </c>
      <c r="B4" s="2" t="inlineStr">
        <is>
          <t>의심거래보고(STR)는 어디에 하는 거야?</t>
        </is>
      </c>
      <c r="C4" s="2" t="inlineStr">
        <is>
          <t>금융감독원</t>
        </is>
      </c>
      <c r="D4" s="2" t="inlineStr">
        <is>
          <t>한국은행</t>
        </is>
      </c>
      <c r="E4" s="2" t="inlineStr">
        <is>
          <t>금융정보분석원(KoFIU)</t>
        </is>
      </c>
      <c r="F4" s="2" t="inlineStr">
        <is>
          <t>예금보험공사</t>
        </is>
      </c>
      <c r="G4" s="2" t="inlineStr">
        <is>
          <t>C</t>
        </is>
      </c>
    </row>
    <row r="5">
      <c r="A5" s="2" t="inlineStr">
        <is>
          <t>HIER-1</t>
        </is>
      </c>
      <c r="B5" s="2" t="inlineStr">
        <is>
          <t>온톨로지에 정의된 은행의 종류를 모두 고르면?</t>
        </is>
      </c>
      <c r="C5" s="2" t="inlineStr">
        <is>
          <t>시중은행, 지방은행, 인터넷전문은행, 특수은행</t>
        </is>
      </c>
      <c r="D5" s="2" t="inlineStr">
        <is>
          <t>시중은행, 저축은행, 신협, 새마을금고</t>
        </is>
      </c>
      <c r="E5" s="2" t="inlineStr">
        <is>
          <t>시중은행, 지방은행, 외국계은행</t>
        </is>
      </c>
      <c r="F5" s="2" t="inlineStr">
        <is>
          <t>국책은행, 민간은행</t>
        </is>
      </c>
      <c r="G5" s="2" t="inlineStr">
        <is>
          <t>A</t>
        </is>
      </c>
    </row>
    <row r="6">
      <c r="A6" s="2" t="inlineStr">
        <is>
          <t>HIER-2</t>
        </is>
      </c>
      <c r="B6" s="2" t="inlineStr">
        <is>
          <t>수신상품의 하위 분류가 아닌 것은?</t>
        </is>
      </c>
      <c r="C6" s="2" t="inlineStr">
        <is>
          <t>정기예금 상품</t>
        </is>
      </c>
      <c r="D6" s="2" t="inlineStr">
        <is>
          <t>정기적금 상품</t>
        </is>
      </c>
      <c r="E6" s="2" t="inlineStr">
        <is>
          <t>외화예금 상품</t>
        </is>
      </c>
      <c r="F6" s="2" t="inlineStr">
        <is>
          <t>전세자금대출 상품</t>
        </is>
      </c>
      <c r="G6" s="2" t="inlineStr">
        <is>
          <t>D</t>
        </is>
      </c>
    </row>
    <row r="7">
      <c r="A7" s="2" t="inlineStr">
        <is>
          <t>HIER-3</t>
        </is>
      </c>
      <c r="B7" s="2" t="inlineStr">
        <is>
          <t>온톨로지에 정의된 대출 상환방식을 모두 고르면?</t>
        </is>
      </c>
      <c r="C7" s="2" t="inlineStr">
        <is>
          <t>원리금균등, 원금균등, 만기일시</t>
        </is>
      </c>
      <c r="D7" s="2" t="inlineStr">
        <is>
          <t>원리금균등, 거치식, 리볼빙</t>
        </is>
      </c>
      <c r="E7" s="2" t="inlineStr">
        <is>
          <t>만기일시, 수시상환</t>
        </is>
      </c>
      <c r="F7" s="2" t="inlineStr">
        <is>
          <t>원금균등, 체증식, 체감식</t>
        </is>
      </c>
      <c r="G7" s="2" t="inlineStr">
        <is>
          <t>A</t>
        </is>
      </c>
    </row>
    <row r="8">
      <c r="A8" s="2" t="inlineStr">
        <is>
          <t>HIER-4</t>
        </is>
      </c>
      <c r="B8" s="2" t="inlineStr">
        <is>
          <t>여신상품의 하위 분류가 아닌 것은?</t>
        </is>
      </c>
      <c r="C8" s="2" t="inlineStr">
        <is>
          <t>신용대출 상품</t>
        </is>
      </c>
      <c r="D8" s="2" t="inlineStr">
        <is>
          <t>주택담보대출 상품</t>
        </is>
      </c>
      <c r="E8" s="2" t="inlineStr">
        <is>
          <t>마이너스통장(한도대출) 상품</t>
        </is>
      </c>
      <c r="F8" s="2" t="inlineStr">
        <is>
          <t>MMDA 상품</t>
        </is>
      </c>
      <c r="G8" s="2" t="inlineStr">
        <is>
          <t>D</t>
        </is>
      </c>
    </row>
    <row r="9">
      <c r="A9" s="2" t="inlineStr">
        <is>
          <t>HOP-1</t>
        </is>
      </c>
      <c r="B9" s="2" t="inlineStr">
        <is>
          <t>김민준이 받은 대출의 담보 감정가는 얼마야?</t>
        </is>
      </c>
      <c r="C9" s="2" t="inlineStr">
        <is>
          <t>3억 원</t>
        </is>
      </c>
      <c r="D9" s="2" t="inlineStr">
        <is>
          <t>5억 원</t>
        </is>
      </c>
      <c r="E9" s="2" t="inlineStr">
        <is>
          <t>10억 원</t>
        </is>
      </c>
      <c r="F9" s="2" t="inlineStr">
        <is>
          <t>3억 5천만 원</t>
        </is>
      </c>
      <c r="G9" s="2" t="inlineStr">
        <is>
          <t>B</t>
        </is>
      </c>
    </row>
    <row r="10">
      <c r="A10" s="2" t="inlineStr">
        <is>
          <t>HOP-2</t>
        </is>
      </c>
      <c r="B10" s="2" t="inlineStr">
        <is>
          <t>김민준 대출 금리는 어떤 기준금리에 연동돼?</t>
        </is>
      </c>
      <c r="C10" s="2" t="inlineStr">
        <is>
          <t>한국은행 기준금리</t>
        </is>
      </c>
      <c r="D10" s="2" t="inlineStr">
        <is>
          <t>KORIBOR</t>
        </is>
      </c>
      <c r="E10" s="2" t="inlineStr">
        <is>
          <t>COFIX(신규취급액 기준)</t>
        </is>
      </c>
      <c r="F10" s="2" t="inlineStr">
        <is>
          <t>CD금리</t>
        </is>
      </c>
      <c r="G10" s="2" t="inlineStr">
        <is>
          <t>C</t>
        </is>
      </c>
    </row>
    <row r="11">
      <c r="A11" s="2" t="inlineStr">
        <is>
          <t>HOP-3</t>
        </is>
      </c>
      <c r="B11" s="2" t="inlineStr">
        <is>
          <t>김민준이 가입한 정기예금 상품의 금리는 몇 %야?</t>
        </is>
      </c>
      <c r="C11" s="2" t="inlineStr">
        <is>
          <t>연 3.10%</t>
        </is>
      </c>
      <c r="D11" s="2" t="inlineStr">
        <is>
          <t>연 3.50%</t>
        </is>
      </c>
      <c r="E11" s="2" t="inlineStr">
        <is>
          <t>연 4.20%</t>
        </is>
      </c>
      <c r="F11" s="2" t="inlineStr">
        <is>
          <t>연 2.80%</t>
        </is>
      </c>
      <c r="G11" s="2" t="inlineStr">
        <is>
          <t>B</t>
        </is>
      </c>
    </row>
    <row r="12">
      <c r="A12" s="2" t="inlineStr">
        <is>
          <t>HOP-4</t>
        </is>
      </c>
      <c r="B12" s="2" t="inlineStr">
        <is>
          <t>김민준의 이체 거래는 어떤 채널에서 실행됐어?</t>
        </is>
      </c>
      <c r="C12" s="2" t="inlineStr">
        <is>
          <t>영업점 창구</t>
        </is>
      </c>
      <c r="D12" s="2" t="inlineStr">
        <is>
          <t>인터넷뱅킹</t>
        </is>
      </c>
      <c r="E12" s="2" t="inlineStr">
        <is>
          <t>모바일뱅킹</t>
        </is>
      </c>
      <c r="F12" s="2" t="inlineStr">
        <is>
          <t>ATM</t>
        </is>
      </c>
      <c r="G12" s="2" t="inlineStr">
        <is>
          <t>C</t>
        </is>
      </c>
    </row>
    <row r="13">
      <c r="A13" s="2" t="inlineStr">
        <is>
          <t>HOP-5</t>
        </is>
      </c>
      <c r="B13" s="2" t="inlineStr">
        <is>
          <t>김민준 주택담보대출의 상환방식은?</t>
        </is>
      </c>
      <c r="C13" s="2" t="inlineStr">
        <is>
          <t>만기일시상환</t>
        </is>
      </c>
      <c r="D13" s="2" t="inlineStr">
        <is>
          <t>원금균등분할상환</t>
        </is>
      </c>
      <c r="E13" s="2" t="inlineStr">
        <is>
          <t>원리금균등분할상환</t>
        </is>
      </c>
      <c r="F13" s="2" t="inlineStr">
        <is>
          <t>수시상환</t>
        </is>
      </c>
      <c r="G13" s="2" t="inlineStr">
        <is>
          <t>C</t>
        </is>
      </c>
    </row>
    <row r="14">
      <c r="A14" s="2" t="inlineStr">
        <is>
          <t>AGG-1</t>
        </is>
      </c>
      <c r="B14" s="2" t="inlineStr">
        <is>
          <t>예금자보호가 적용되는 것으로 표시된 상품은?</t>
        </is>
      </c>
      <c r="C14" s="2" t="inlineStr">
        <is>
          <t>한빛 주택담보대출</t>
        </is>
      </c>
      <c r="D14" s="2" t="inlineStr">
        <is>
          <t>한빛 정기예금</t>
        </is>
      </c>
      <c r="E14" s="2" t="inlineStr">
        <is>
          <t>한빛 신용카드</t>
        </is>
      </c>
      <c r="F14" s="2" t="inlineStr">
        <is>
          <t>한빛 외화예금</t>
        </is>
      </c>
      <c r="G14" s="2" t="inlineStr">
        <is>
          <t>B</t>
        </is>
      </c>
    </row>
    <row r="15">
      <c r="A15" s="2" t="inlineStr">
        <is>
          <t>AGG-2</t>
        </is>
      </c>
      <c r="B15" s="2" t="inlineStr">
        <is>
          <t>김민준 주택담보대출계약의 LTV 값은?</t>
        </is>
      </c>
      <c r="C15" s="2" t="inlineStr">
        <is>
          <t>40%</t>
        </is>
      </c>
      <c r="D15" s="2" t="inlineStr">
        <is>
          <t>50%</t>
        </is>
      </c>
      <c r="E15" s="2" t="inlineStr">
        <is>
          <t>60%</t>
        </is>
      </c>
      <c r="F15" s="2" t="inlineStr">
        <is>
          <t>70%</t>
        </is>
      </c>
      <c r="G15" s="2" t="inlineStr">
        <is>
          <t>C</t>
        </is>
      </c>
    </row>
    <row r="16">
      <c r="A16" s="2" t="inlineStr">
        <is>
          <t>AGG-3</t>
        </is>
      </c>
      <c r="B16" s="2" t="inlineStr">
        <is>
          <t>김민준이 보유한 계좌는 몇 개야?</t>
        </is>
      </c>
      <c r="C16" s="2" t="inlineStr">
        <is>
          <t>1개</t>
        </is>
      </c>
      <c r="D16" s="2" t="inlineStr">
        <is>
          <t>2개</t>
        </is>
      </c>
      <c r="E16" s="2" t="inlineStr">
        <is>
          <t>3개</t>
        </is>
      </c>
      <c r="F16" s="2" t="inlineStr">
        <is>
          <t>4개</t>
        </is>
      </c>
      <c r="G16" s="2" t="inlineStr">
        <is>
          <t>B</t>
        </is>
      </c>
    </row>
    <row r="17">
      <c r="A17" s="2" t="inlineStr">
        <is>
          <t>SCH-1</t>
        </is>
      </c>
      <c r="B17" s="2" t="inlineStr">
        <is>
          <t>대출계약에 반드시 필요한 당사자 역할 조합은?</t>
        </is>
      </c>
      <c r="C17" s="2" t="inlineStr">
        <is>
          <t>예금주와 보증인</t>
        </is>
      </c>
      <c r="D17" s="2" t="inlineStr">
        <is>
          <t>차주와 대주</t>
        </is>
      </c>
      <c r="E17" s="2" t="inlineStr">
        <is>
          <t>카드회원과 발급사</t>
        </is>
      </c>
      <c r="F17" s="2" t="inlineStr">
        <is>
          <t>실제소유자와 감독기관</t>
        </is>
      </c>
      <c r="G17" s="2" t="inlineStr">
        <is>
          <t>B</t>
        </is>
      </c>
    </row>
    <row r="18">
      <c r="A18" s="2" t="inlineStr">
        <is>
          <t>SCH-2</t>
        </is>
      </c>
      <c r="B18" s="2" t="inlineStr">
        <is>
          <t>주택담보대출계약의 직접 상위 개념은?</t>
        </is>
      </c>
      <c r="C18" s="2" t="inlineStr">
        <is>
          <t>신용대출계약</t>
        </is>
      </c>
      <c r="D18" s="2" t="inlineStr">
        <is>
          <t>보증부대출계약</t>
        </is>
      </c>
      <c r="E18" s="2" t="inlineStr">
        <is>
          <t>담보대출계약</t>
        </is>
      </c>
      <c r="F18" s="2" t="inlineStr">
        <is>
          <t>금융계약</t>
        </is>
      </c>
      <c r="G18" s="2" t="inlineStr">
        <is>
          <t>C</t>
        </is>
      </c>
    </row>
    <row r="19">
      <c r="A19" s="2" t="inlineStr">
        <is>
          <t>SCH-3</t>
        </is>
      </c>
      <c r="B19" s="2" t="inlineStr">
        <is>
          <t>정기적금계좌의 월 납입액을 기록하는 속성은?</t>
        </is>
      </c>
      <c r="C19" s="2" t="inlineStr">
        <is>
          <t>hasMonthlyInstallmentAmount</t>
        </is>
      </c>
      <c r="D19" s="2" t="inlineStr">
        <is>
          <t>hasBalance</t>
        </is>
      </c>
      <c r="E19" s="2" t="inlineStr">
        <is>
          <t>hasAmountValue</t>
        </is>
      </c>
      <c r="F19" s="2" t="inlineStr">
        <is>
          <t>hasMinimumAmount</t>
        </is>
      </c>
      <c r="G19" s="2" t="inlineStr">
        <is>
          <t>A</t>
        </is>
      </c>
    </row>
    <row r="20">
      <c r="A20" s="2" t="inlineStr">
        <is>
          <t>NEG-1</t>
        </is>
      </c>
      <c r="B20" s="2" t="inlineStr">
        <is>
          <t>리볼빙 결제 수수료율이 몇 %야?</t>
        </is>
      </c>
      <c r="C20" s="2" t="inlineStr">
        <is>
          <t>연 5.4%</t>
        </is>
      </c>
      <c r="D20" s="2" t="inlineStr">
        <is>
          <t>연 12.9%</t>
        </is>
      </c>
      <c r="E20" s="2" t="inlineStr">
        <is>
          <t>연 18.0%</t>
        </is>
      </c>
      <c r="F20" s="2" t="inlineStr">
        <is>
          <t>지식 베이스에 없는 정보라 알 수 없음</t>
        </is>
      </c>
      <c r="G20" s="2" t="inlineStr">
        <is>
          <t>D</t>
        </is>
      </c>
    </row>
    <row r="21">
      <c r="A21" s="2" t="inlineStr">
        <is>
          <t>NEG-2</t>
        </is>
      </c>
      <c r="B21" s="2" t="inlineStr">
        <is>
          <t>펀드 판매보수는 얼마야?</t>
        </is>
      </c>
      <c r="C21" s="2" t="inlineStr">
        <is>
          <t>연 0.35%</t>
        </is>
      </c>
      <c r="D21" s="2" t="inlineStr">
        <is>
          <t>연 0.8%</t>
        </is>
      </c>
      <c r="E21" s="2" t="inlineStr">
        <is>
          <t>연 1.2%</t>
        </is>
      </c>
      <c r="F21" s="2" t="inlineStr">
        <is>
          <t>지식 베이스에 없는 정보라 알 수 없음</t>
        </is>
      </c>
      <c r="G21" s="2" t="inlineStr">
        <is>
          <t>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55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gold_sparql</t>
        </is>
      </c>
    </row>
    <row r="2">
      <c r="A2" s="2" t="inlineStr">
        <is>
          <t>MKT-AGG-1</t>
        </is>
      </c>
      <c r="B2" s="2" t="inlineStr">
        <is>
          <t>정렬/최댓값</t>
        </is>
      </c>
      <c r="C2" s="2" t="inlineStr">
        <is>
          <t>12개월 정기예금 중 최고 우대금리 상품은 뭐야?</t>
        </is>
      </c>
      <c r="D2" s="2" t="inlineStr">
        <is>
          <t>e-그린세이브예금 || 3.85</t>
        </is>
      </c>
      <c r="E2" s="2" t="inlineStr">
        <is>
          <t>SELECT ?name ?rate WHERE { ?p a products:TimeDepositProduct ; products:hasProductName ?name ; market:hasRateOption ?o . ?o market:termMonths 12 ; market:maxPreferentialRateValue ?rate . } ORDER BY DESC(?rate) LIMIT 1</t>
        </is>
      </c>
    </row>
    <row r="3">
      <c r="A3" s="2" t="inlineStr">
        <is>
          <t>MKT-AGG-2</t>
        </is>
      </c>
      <c r="B3" s="2" t="inlineStr">
        <is>
          <t>집계(COUNT)</t>
        </is>
      </c>
      <c r="C3" s="2" t="inlineStr">
        <is>
          <t>공시된 정기예금 상품은 모두 몇 개야?</t>
        </is>
      </c>
      <c r="D3" s="2" t="inlineStr">
        <is>
          <t>BNK더조은정기예금 || IBK굴리기통장(정기예금) || IBK더굴리기통장(실세금리정기예금) || IBK평생한가족통장(실세금리정기예금) || JB 123 정기예금 (만기일시지급식) || JB 다이렉트예금통장 (만기일시지급식) || J정기예금 (만기지급식) || KB Star 정기예금 || KDB 정기예금 || LIVE정기예금 || NH고향사랑기부예금 || NH내가Green초록세상예금 || NH올원e예금 || NH왈츠회전예금 II || Sh첫만남우대예금 || Sh해양플라스틱Zero!예금 (만기일시지급식) || The든든예금(시즌2) || The파트너예금 || The플러스예금 || WON플러스예금 || e-그린세이브예금 || iM스마트예금 || iM함께예금 || 굿스타트예금 || 내맘 쏙 정기예금 || 더(The) 레벨업 정기예금 || 더(The) 특판 정기예금 || 미즈월복리정기예금 || 스마일드림 정기예금 (개인/선이자 지급식) || 스마트모아Dream정기예금 || 신한My플러스 정기예금 || 쏠편한 정기예금 || 제주Dream 정기예금 (개인/만기 지급식) || 카카오뱅크 정기예금 || 코드K 정기예금 || 토스뱅크 먼저 이자 받는 정기예금 || 하나의정기예금 || 헤이(Hey)정기예금</t>
        </is>
      </c>
      <c r="E3" s="2" t="inlineStr">
        <is>
          <t>SELECT ?name WHERE { ?p a products:TimeDepositProduct ; market:disclosureMonth ?m ; products:hasProductName ?name }</t>
        </is>
      </c>
    </row>
    <row r="4">
      <c r="A4" s="2" t="inlineStr">
        <is>
          <t>MKT-AGG-3</t>
        </is>
      </c>
      <c r="B4" s="2" t="inlineStr">
        <is>
          <t>정렬/최솟값</t>
        </is>
      </c>
      <c r="C4" s="2" t="inlineStr">
        <is>
          <t>아파트 담보 주택담보대출 중 최저금리 상품과 금리는?</t>
        </is>
      </c>
      <c r="D4" s="2" t="inlineStr">
        <is>
          <t>집집마다 도움대출II || 3.64</t>
        </is>
      </c>
      <c r="E4" s="2" t="inlineStr">
        <is>
          <t>SELECT ?name (MIN(?r) AS ?minRate) WHERE { ?p a products:MortgageLoanProduct ; products:hasProductName ?name ; market:hasRateOption ?o . ?o market:mortgageTypeName "아파트" ; market:lendRateMin ?r . } GROUP BY ?name ORDER BY ?minRate LIMIT 1</t>
        </is>
      </c>
    </row>
    <row r="5">
      <c r="A5" s="2" t="inlineStr">
        <is>
          <t>MKT-LIST-1</t>
        </is>
      </c>
      <c r="B5" s="2" t="inlineStr">
        <is>
          <t>완전 열거</t>
        </is>
      </c>
      <c r="C5" s="2" t="inlineStr">
        <is>
          <t>광주은행의 정기예금 상품을 전부 알려줘</t>
        </is>
      </c>
      <c r="D5" s="2" t="inlineStr">
        <is>
          <t>미즈월복리정기예금 || 스마트모아Dream정기예금 || 굿스타트예금 || The플러스예금</t>
        </is>
      </c>
      <c r="E5" s="2" t="inlineStr">
        <is>
          <t>SELECT ?name WHERE { ?p a products:TimeDepositProduct ; products:hasProductName ?name ; products:isOfferedBy ?b . ?b parties:hasName "광주은행" . }</t>
        </is>
      </c>
    </row>
    <row r="6">
      <c r="A6" s="2" t="inlineStr">
        <is>
          <t>MKT-FILT-1</t>
        </is>
      </c>
      <c r="B6" s="2" t="inlineStr">
        <is>
          <t>조건 필터</t>
        </is>
      </c>
      <c r="C6" s="2" t="inlineStr">
        <is>
          <t>고정금리 방식 주택담보대출 상품은 뭐가 있어?</t>
        </is>
      </c>
      <c r="D6" s="2" t="inlineStr">
        <is>
          <t>BEST고정금리모기지론 || BNK357금리안심모기지론 || BNK모바일주택담보대출 || IBK주택담보대출 || JB전세자금대출 || KB스타 아파트담보대출 혼합금리(주택자금) || KJB셀렉트 주택담보대출 || NH주택담보대출 || ONE주택담보대출 || SH으뜸모기지론 || 개인신용대출(신규대출취급중단) || 금리safe모기지론 || 산은 주택대출 (생활자금) || 신한주택대출 || 신한주택대출(아파트) || 아파트담보대출(구입) || 아파트담보대출(일반) || 우리부동산론 || 우리아파트론 || 주택담보대출 || 집집마다 도움대출II || 채움고정금리모기지론 || 하나원큐아파트론2</t>
        </is>
      </c>
      <c r="E6" s="2" t="inlineStr">
        <is>
          <t>SELECT DISTINCT ?name ?bankName WHERE { ?p a products:MortgageLoanProduct ; products:hasProductName ?name ; products:isOfferedBy ?b ; market:hasRateOption ?o . ?b parties:hasName ?bankName . ?o market:lendRateTypeName "고정금리" . }</t>
        </is>
      </c>
    </row>
    <row r="7">
      <c r="A7" s="2" t="inlineStr">
        <is>
          <t>MKT-FILT-2</t>
        </is>
      </c>
      <c r="B7" s="2" t="inlineStr">
        <is>
          <t>조건 필터</t>
        </is>
      </c>
      <c r="C7" s="2" t="inlineStr">
        <is>
          <t>마이너스통장(한도대출) 상품을 취급하는 은행은 어디야?</t>
        </is>
      </c>
      <c r="D7" s="2" t="inlineStr">
        <is>
          <t>경남은행 || 광주은행 || 국민은행 || 농협은행주식회사 || 부산은행 || 수협은행 || 신한은행 || 아이엠뱅크 || 우리은행 || 전북은행 || 제주은행 || 주식회사 카카오뱅크 || 주식회사 케이뱅크 || 주식회사 하나은행 || 중소기업은행 || 토스뱅크 주식회사 || 한국산업은행 || 한국스탠다드차타드은행</t>
        </is>
      </c>
      <c r="E7" s="2" t="inlineStr">
        <is>
          <t>SELECT DISTINCT ?bankName WHERE { ?p a products:OverdraftProduct ; products:isOfferedBy ?b . ?b parties:hasName ?bankName . }</t>
        </is>
      </c>
    </row>
    <row r="8">
      <c r="A8" s="2" t="inlineStr">
        <is>
          <t>MKT-HOP-1</t>
        </is>
      </c>
      <c r="B8" s="2" t="inlineStr">
        <is>
          <t>속성 조회</t>
        </is>
      </c>
      <c r="C8" s="2" t="inlineStr">
        <is>
          <t>BNK더조은정기예금의 우대조건이 뭐야?</t>
        </is>
      </c>
      <c r="D8" s="2" t="inlineStr">
        <is>
          <t>①신규시 가입(재예치)금액 20백만원</t>
        </is>
      </c>
      <c r="E8" s="2" t="inlineStr">
        <is>
          <t>SELECT ?cond WHERE { ?p products:hasProductName "BNK더조은정기예금" ; market:preferentialCondition ?cond . }</t>
        </is>
      </c>
    </row>
    <row r="9">
      <c r="A9" s="2" t="inlineStr">
        <is>
          <t>MKT-AGG-4</t>
        </is>
      </c>
      <c r="B9" s="2" t="inlineStr">
        <is>
          <t>정렬/최댓값</t>
        </is>
      </c>
      <c r="C9" s="2" t="inlineStr">
        <is>
          <t>36개월 만기 적금 중 최고 우대금리 상품과 금리는?</t>
        </is>
      </c>
      <c r="D9" s="2" t="inlineStr">
        <is>
          <t>마이키즈 적금 || 7.3</t>
        </is>
      </c>
      <c r="E9" s="2" t="inlineStr">
        <is>
          <t>SELECT ?name ?rate WHERE { ?p a products:InstallmentSavingsProduct ; products:hasProductName ?name ; market:hasRateOption ?o . ?o market:termMonths 36 ; market:maxPreferentialRateValue ?rate . } ORDER BY DESC(?rate) LIMIT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26" customWidth="1" min="4" max="4"/>
    <col width="20" customWidth="1" min="5" max="5"/>
    <col width="55" customWidth="1" min="6" max="6"/>
    <col width="10" customWidth="1" min="7" max="7"/>
    <col width="40" customWidth="1" min="8" max="8"/>
    <col width="40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bank</t>
        </is>
      </c>
      <c r="D1" s="1" t="inlineStr">
        <is>
          <t>product_name</t>
        </is>
      </c>
      <c r="E1" s="1" t="inlineStr">
        <is>
          <t>product_code</t>
        </is>
      </c>
      <c r="F1" s="1" t="inlineStr">
        <is>
          <t>question</t>
        </is>
      </c>
      <c r="G1" s="1" t="inlineStr">
        <is>
          <t>verdict</t>
        </is>
      </c>
      <c r="H1" s="1" t="inlineStr">
        <is>
          <t>gold_evidence</t>
        </is>
      </c>
      <c r="I1" s="1" t="inlineStr">
        <is>
          <t>basis</t>
        </is>
      </c>
      <c r="J1" s="1" t="inlineStr">
        <is>
          <t>provenance</t>
        </is>
      </c>
    </row>
    <row r="2">
      <c r="A2" s="2" t="inlineStr">
        <is>
          <t>E0014</t>
        </is>
      </c>
      <c r="B2" s="2" t="inlineStr">
        <is>
          <t>Q1_통제</t>
        </is>
      </c>
      <c r="C2" s="2" t="inlineStr">
        <is>
          <t>주식회사 케이뱅크</t>
        </is>
      </c>
      <c r="D2" s="2" t="inlineStr">
        <is>
          <t>데굴데굴 농장</t>
        </is>
      </c>
      <c r="E2" s="2" t="inlineStr">
        <is>
          <t>01012000200000000005</t>
        </is>
      </c>
      <c r="F2" s="2" t="inlineStr">
        <is>
          <t>주식회사 케이뱅크 '데굴데굴 농장'은 가입 대상에 별도의 제한이 없는가?</t>
        </is>
      </c>
      <c r="G2" s="2" t="inlineStr">
        <is>
          <t>NO</t>
        </is>
      </c>
      <c r="H2" s="2" t="inlineStr">
        <is>
          <t>데굴데굴 농장 || 만 17세 이상</t>
        </is>
      </c>
      <c r="I2" s="2" t="inlineStr">
        <is>
          <t>join_member에 연령 제한 명시: '만 17세 이상'</t>
        </is>
      </c>
      <c r="J2" s="2" t="inlineStr">
        <is>
          <t>KR-FinReg-QA v1 (202607 공시) → 202608 공시로 근거 재검증 후 이식</t>
        </is>
      </c>
    </row>
    <row r="3">
      <c r="A3" s="2" t="inlineStr">
        <is>
          <t>E0020</t>
        </is>
      </c>
      <c r="B3" s="2" t="inlineStr">
        <is>
          <t>Q1_통제</t>
        </is>
      </c>
      <c r="C3" s="2" t="inlineStr">
        <is>
          <t>광주은행</t>
        </is>
      </c>
      <c r="D3" s="2" t="inlineStr">
        <is>
          <t>여행스케치_남도투어적금</t>
        </is>
      </c>
      <c r="E3" s="2" t="inlineStr">
        <is>
          <t>TD11330030000</t>
        </is>
      </c>
      <c r="F3" s="2" t="inlineStr">
        <is>
          <t>광주은행 '여행스케치_남도투어적금'은 가입 대상에 별도의 제한이 없는가?</t>
        </is>
      </c>
      <c r="G3" s="2" t="inlineStr">
        <is>
          <t>NO</t>
        </is>
      </c>
      <c r="H3" s="2" t="inlineStr">
        <is>
          <t>여행스케치_남도투어적금 || 만14세이상</t>
        </is>
      </c>
      <c r="I3" s="2" t="inlineStr">
        <is>
          <t>join_member에 연령 제한 명시: '만14세이상'</t>
        </is>
      </c>
      <c r="J3" s="2" t="inlineStr">
        <is>
          <t>KR-FinReg-QA v1 (202607 공시) → 202608 공시로 근거 재검증 후 이식</t>
        </is>
      </c>
    </row>
    <row r="4">
      <c r="A4" s="2" t="inlineStr">
        <is>
          <t>E0022</t>
        </is>
      </c>
      <c r="B4" s="2" t="inlineStr">
        <is>
          <t>Q1_통제</t>
        </is>
      </c>
      <c r="C4" s="2" t="inlineStr">
        <is>
          <t>주식회사 케이뱅크</t>
        </is>
      </c>
      <c r="D4" s="2" t="inlineStr">
        <is>
          <t>코드K 자유적금</t>
        </is>
      </c>
      <c r="E4" s="2" t="inlineStr">
        <is>
          <t>01012000200000000003</t>
        </is>
      </c>
      <c r="F4" s="2" t="inlineStr">
        <is>
          <t>주식회사 케이뱅크 '코드K 자유적금'은 가입 대상에 별도의 제한이 없는가?</t>
        </is>
      </c>
      <c r="G4" s="2" t="inlineStr">
        <is>
          <t>NO</t>
        </is>
      </c>
      <c r="H4" s="2" t="inlineStr">
        <is>
          <t>코드K 자유적금 || 만 17세 이상</t>
        </is>
      </c>
      <c r="I4" s="2" t="inlineStr">
        <is>
          <t>join_member에 연령 제한 명시: '만 17세 이상'</t>
        </is>
      </c>
      <c r="J4" s="2" t="inlineStr">
        <is>
          <t>KR-FinReg-QA v1 (202607 공시) → 202608 공시로 근거 재검증 후 이식</t>
        </is>
      </c>
    </row>
    <row r="5">
      <c r="A5" s="2" t="inlineStr">
        <is>
          <t>E0088</t>
        </is>
      </c>
      <c r="B5" s="2" t="inlineStr">
        <is>
          <t>Q3_조건</t>
        </is>
      </c>
      <c r="C5" s="2" t="inlineStr">
        <is>
          <t>수협은행</t>
        </is>
      </c>
      <c r="D5" s="2" t="inlineStr">
        <is>
          <t>Sh첫만남우대예금</t>
        </is>
      </c>
      <c r="E5" s="2" t="inlineStr">
        <is>
          <t>10120116100011</t>
        </is>
      </c>
      <c r="F5" s="2" t="inlineStr">
        <is>
          <t>500,000원을 예치하려는 고객이 수협은행 'Sh첫만남우대예금'의 최소 가입금액 요건을 충족하는가?</t>
        </is>
      </c>
      <c r="G5" s="2" t="inlineStr">
        <is>
          <t>NO</t>
        </is>
      </c>
      <c r="H5" s="2" t="inlineStr">
        <is>
          <t>Sh첫만남우대예금 || 100만원 이상</t>
        </is>
      </c>
      <c r="I5" s="2" t="inlineStr">
        <is>
          <t>원문 금액 요건 '100만원 이상'(=1,000,000원) 대비 제시 금액 500,000원</t>
        </is>
      </c>
      <c r="J5" s="2" t="inlineStr">
        <is>
          <t>KR-FinReg-QA v1 (202607 공시) → 202608 공시로 근거 재검증 후 이식</t>
        </is>
      </c>
    </row>
    <row r="6">
      <c r="A6" s="2" t="inlineStr">
        <is>
          <t>E0090</t>
        </is>
      </c>
      <c r="B6" s="2" t="inlineStr">
        <is>
          <t>Q3_조건</t>
        </is>
      </c>
      <c r="C6" s="2" t="inlineStr">
        <is>
          <t>농협은행주식회사</t>
        </is>
      </c>
      <c r="D6" s="2" t="inlineStr">
        <is>
          <t>NH직장인월복리적금</t>
        </is>
      </c>
      <c r="E6" s="2" t="inlineStr">
        <is>
          <t>10-059-1264-0001</t>
        </is>
      </c>
      <c r="F6" s="2" t="inlineStr">
        <is>
          <t>만 15세인 실명의 개인이 농협은행주식회사 'NH직장인월복리적금'에 가입할 수 있는가? 연령 외의 요건은 모두 충족한다고 가정한다.</t>
        </is>
      </c>
      <c r="G6" s="2" t="inlineStr">
        <is>
          <t>NO</t>
        </is>
      </c>
      <c r="H6" s="2" t="inlineStr">
        <is>
          <t>NH직장인월복리적금 || 만18세이상</t>
        </is>
      </c>
      <c r="I6" s="2" t="inlineStr">
        <is>
          <t>원문 연령 요건 '만18세이상' 대비 제시 연령 만 15세</t>
        </is>
      </c>
      <c r="J6" s="2" t="inlineStr">
        <is>
          <t>KR-FinReg-QA v1 (202607 공시) → 202608 공시로 근거 재검증 후 이식</t>
        </is>
      </c>
    </row>
    <row r="7">
      <c r="A7" s="2" t="inlineStr">
        <is>
          <t>E0091</t>
        </is>
      </c>
      <c r="B7" s="2" t="inlineStr">
        <is>
          <t>Q3_조건</t>
        </is>
      </c>
      <c r="C7" s="2" t="inlineStr">
        <is>
          <t>수협은행</t>
        </is>
      </c>
      <c r="D7" s="2" t="inlineStr">
        <is>
          <t>헤이(Hey)정기예금</t>
        </is>
      </c>
      <c r="E7" s="2" t="inlineStr">
        <is>
          <t>10120114700011</t>
        </is>
      </c>
      <c r="F7" s="2" t="inlineStr">
        <is>
          <t>200,000원을 예치하려는 고객이 수협은행 '헤이(Hey)정기예금'의 최소 가입금액 요건을 충족하는가?</t>
        </is>
      </c>
      <c r="G7" s="2" t="inlineStr">
        <is>
          <t>YES</t>
        </is>
      </c>
      <c r="H7" s="2" t="inlineStr">
        <is>
          <t>헤이(Hey)정기예금 || 10만원 이상</t>
        </is>
      </c>
      <c r="I7" s="2" t="inlineStr">
        <is>
          <t>원문 금액 요건 '10만원 이상'(=100,000원) 대비 제시 금액 200,000원</t>
        </is>
      </c>
      <c r="J7" s="2" t="inlineStr">
        <is>
          <t>KR-FinReg-QA v1 (202607 공시) → 202608 공시로 근거 재검증 후 이식</t>
        </is>
      </c>
    </row>
    <row r="8">
      <c r="A8" s="2" t="inlineStr">
        <is>
          <t>E0095</t>
        </is>
      </c>
      <c r="B8" s="2" t="inlineStr">
        <is>
          <t>Q3_조건</t>
        </is>
      </c>
      <c r="C8" s="2" t="inlineStr">
        <is>
          <t>농협은행주식회사</t>
        </is>
      </c>
      <c r="D8" s="2" t="inlineStr">
        <is>
          <t>NH내가Green초록세상예금</t>
        </is>
      </c>
      <c r="E8" s="2" t="inlineStr">
        <is>
          <t>10-003-1381-0001</t>
        </is>
      </c>
      <c r="F8" s="2" t="inlineStr">
        <is>
          <t>6,000,000원을 예치하려는 고객이 농협은행주식회사 'NH내가Green초록세상예금'의 최소 가입금액 요건을 충족하는가?</t>
        </is>
      </c>
      <c r="G8" s="2" t="inlineStr">
        <is>
          <t>YES</t>
        </is>
      </c>
      <c r="H8" s="2" t="inlineStr">
        <is>
          <t>NH내가Green초록세상예금 || 300만원이상</t>
        </is>
      </c>
      <c r="I8" s="2" t="inlineStr">
        <is>
          <t>원문 금액 요건 '300만원이상'(=3,000,000원) 대비 제시 금액 6,000,000원</t>
        </is>
      </c>
      <c r="J8" s="2" t="inlineStr">
        <is>
          <t>KR-FinReg-QA v1 (202607 공시) → 202608 공시로 근거 재검증 후 이식</t>
        </is>
      </c>
    </row>
    <row r="9">
      <c r="A9" s="2" t="inlineStr">
        <is>
          <t>E0097</t>
        </is>
      </c>
      <c r="B9" s="2" t="inlineStr">
        <is>
          <t>Q3_조건</t>
        </is>
      </c>
      <c r="C9" s="2" t="inlineStr">
        <is>
          <t>부산은행</t>
        </is>
      </c>
      <c r="D9" s="2" t="inlineStr">
        <is>
          <t>Only One 주거래 우대적금</t>
        </is>
      </c>
      <c r="E9" s="2" t="inlineStr">
        <is>
          <t>01020400700001</t>
        </is>
      </c>
      <c r="F9" s="2" t="inlineStr">
        <is>
          <t>만 19세인 실명의 개인이 부산은행 'Only One 주거래 우대적금'에 가입할 수 있는가? 연령 외의 요건은 모두 충족한다고 가정한다.</t>
        </is>
      </c>
      <c r="G9" s="2" t="inlineStr">
        <is>
          <t>YES</t>
        </is>
      </c>
      <c r="H9" s="2" t="inlineStr">
        <is>
          <t>Only One 주거래 우대적금 || 만14세 이상</t>
        </is>
      </c>
      <c r="I9" s="2" t="inlineStr">
        <is>
          <t>원문 연령 요건 '만14세 이상' 대비 제시 연령 만 19세</t>
        </is>
      </c>
      <c r="J9" s="2" t="inlineStr">
        <is>
          <t>KR-FinReg-QA v1 (202607 공시) → 202608 공시로 근거 재검증 후 이식</t>
        </is>
      </c>
    </row>
    <row r="10">
      <c r="A10" s="2" t="inlineStr">
        <is>
          <t>E0099</t>
        </is>
      </c>
      <c r="B10" s="2" t="inlineStr">
        <is>
          <t>Q3_조건</t>
        </is>
      </c>
      <c r="C10" s="2" t="inlineStr">
        <is>
          <t>주식회사 케이뱅크</t>
        </is>
      </c>
      <c r="D10" s="2" t="inlineStr">
        <is>
          <t>코드K 정기예금</t>
        </is>
      </c>
      <c r="E10" s="2" t="inlineStr">
        <is>
          <t>01013000110000000001</t>
        </is>
      </c>
      <c r="F10" s="2" t="inlineStr">
        <is>
          <t>만 22세인 실명의 개인이 주식회사 케이뱅크 '코드K 정기예금'에 가입할 수 있는가? 연령 외의 요건은 모두 충족한다고 가정한다.</t>
        </is>
      </c>
      <c r="G10" s="2" t="inlineStr">
        <is>
          <t>YES</t>
        </is>
      </c>
      <c r="H10" s="2" t="inlineStr">
        <is>
          <t>코드K 정기예금 || 만 17세 이상</t>
        </is>
      </c>
      <c r="I10" s="2" t="inlineStr">
        <is>
          <t>원문 연령 요건 '만 17세 이상' 대비 제시 연령 만 22세</t>
        </is>
      </c>
      <c r="J10" s="2" t="inlineStr">
        <is>
          <t>KR-FinReg-QA v1 (202607 공시) → 202608 공시로 근거 재검증 후 이식</t>
        </is>
      </c>
    </row>
    <row r="11">
      <c r="A11" s="2" t="inlineStr">
        <is>
          <t>E0111</t>
        </is>
      </c>
      <c r="B11" s="2" t="inlineStr">
        <is>
          <t>Q3_조건</t>
        </is>
      </c>
      <c r="C11" s="2" t="inlineStr">
        <is>
          <t>제주은행</t>
        </is>
      </c>
      <c r="D11" s="2" t="inlineStr">
        <is>
          <t>J정기예금 (만기지급식)</t>
        </is>
      </c>
      <c r="E11" s="2" t="inlineStr">
        <is>
          <t>101272000057</t>
        </is>
      </c>
      <c r="F11" s="2" t="inlineStr">
        <is>
          <t>150,000원을 예치하려는 고객이 제주은행 'J정기예금 (만기지급식)'의 최소 가입금액 요건을 충족하는가?</t>
        </is>
      </c>
      <c r="G11" s="2" t="inlineStr">
        <is>
          <t>NO</t>
        </is>
      </c>
      <c r="H11" s="2" t="inlineStr">
        <is>
          <t>J정기예금 (만기지급식) || 30만원 이상</t>
        </is>
      </c>
      <c r="I11" s="2" t="inlineStr">
        <is>
          <t>원문 금액 요건 '30만원 이상'(=300,000원) 대비 제시 금액 150,000원</t>
        </is>
      </c>
      <c r="J11" s="2" t="inlineStr">
        <is>
          <t>KR-FinReg-QA v1 (202607 공시) → 202608 공시로 근거 재검증 후 이식</t>
        </is>
      </c>
    </row>
    <row r="12">
      <c r="A12" s="2" t="inlineStr">
        <is>
          <t>E0115</t>
        </is>
      </c>
      <c r="B12" s="2" t="inlineStr">
        <is>
          <t>Q3_조건</t>
        </is>
      </c>
      <c r="C12" s="2" t="inlineStr">
        <is>
          <t>부산은행</t>
        </is>
      </c>
      <c r="D12" s="2" t="inlineStr">
        <is>
          <t>Only One 주거래 우대적금</t>
        </is>
      </c>
      <c r="E12" s="2" t="inlineStr">
        <is>
          <t>01020400700001</t>
        </is>
      </c>
      <c r="F12" s="2" t="inlineStr">
        <is>
          <t>만 11세인 실명의 개인이 부산은행 'Only One 주거래 우대적금'에 가입할 수 있는가? 연령 외의 요건은 모두 충족한다고 가정한다.</t>
        </is>
      </c>
      <c r="G12" s="2" t="inlineStr">
        <is>
          <t>NO</t>
        </is>
      </c>
      <c r="H12" s="2" t="inlineStr">
        <is>
          <t>Only One 주거래 우대적금 || 만14세 이상</t>
        </is>
      </c>
      <c r="I12" s="2" t="inlineStr">
        <is>
          <t>원문 연령 요건 '만14세 이상' 대비 제시 연령 만 11세</t>
        </is>
      </c>
      <c r="J12" s="2" t="inlineStr">
        <is>
          <t>KR-FinReg-QA v1 (202607 공시) → 202608 공시로 근거 재검증 후 이식</t>
        </is>
      </c>
    </row>
    <row r="13">
      <c r="A13" s="2" t="inlineStr">
        <is>
          <t>E0120</t>
        </is>
      </c>
      <c r="B13" s="2" t="inlineStr">
        <is>
          <t>Q3_조건</t>
        </is>
      </c>
      <c r="C13" s="2" t="inlineStr">
        <is>
          <t>경남은행</t>
        </is>
      </c>
      <c r="D13" s="2" t="inlineStr">
        <is>
          <t>주거래 프리미엄 적금</t>
        </is>
      </c>
      <c r="E13" s="2" t="inlineStr">
        <is>
          <t>21001236</t>
        </is>
      </c>
      <c r="F13" s="2" t="inlineStr">
        <is>
          <t>5,000원을 예치하려는 고객이 경남은행 '주거래 프리미엄 적금'의 최소 가입금액 요건을 충족하는가?</t>
        </is>
      </c>
      <c r="G13" s="2" t="inlineStr">
        <is>
          <t>NO</t>
        </is>
      </c>
      <c r="H13" s="2" t="inlineStr">
        <is>
          <t>주거래 프리미엄 적금 || 1만원이상</t>
        </is>
      </c>
      <c r="I13" s="2" t="inlineStr">
        <is>
          <t>원문 금액 요건 '1만원이상'(=10,000원) 대비 제시 금액 5,000원</t>
        </is>
      </c>
      <c r="J13" s="2" t="inlineStr">
        <is>
          <t>KR-FinReg-QA v1 (202607 공시) → 202608 공시로 근거 재검증 후 이식</t>
        </is>
      </c>
    </row>
    <row r="14">
      <c r="A14" s="2" t="inlineStr">
        <is>
          <t>E0123</t>
        </is>
      </c>
      <c r="B14" s="2" t="inlineStr">
        <is>
          <t>Q3_조건</t>
        </is>
      </c>
      <c r="C14" s="2" t="inlineStr">
        <is>
          <t>주식회사 케이뱅크</t>
        </is>
      </c>
      <c r="D14" s="2" t="inlineStr">
        <is>
          <t>데굴데굴 농장</t>
        </is>
      </c>
      <c r="E14" s="2" t="inlineStr">
        <is>
          <t>01012000200000000005</t>
        </is>
      </c>
      <c r="F14" s="2" t="inlineStr">
        <is>
          <t>만 14세인 실명의 개인이 주식회사 케이뱅크 '데굴데굴 농장'에 가입할 수 있는가? 연령 외의 요건은 모두 충족한다고 가정한다.</t>
        </is>
      </c>
      <c r="G14" s="2" t="inlineStr">
        <is>
          <t>NO</t>
        </is>
      </c>
      <c r="H14" s="2" t="inlineStr">
        <is>
          <t>데굴데굴 농장 || 만 17세 이상</t>
        </is>
      </c>
      <c r="I14" s="2" t="inlineStr">
        <is>
          <t>원문 연령 요건 '만 17세 이상' 대비 제시 연령 만 14세</t>
        </is>
      </c>
      <c r="J14" s="2" t="inlineStr">
        <is>
          <t>KR-FinReg-QA v1 (202607 공시) → 202608 공시로 근거 재검증 후 이식</t>
        </is>
      </c>
    </row>
    <row r="15">
      <c r="A15" s="2" t="inlineStr">
        <is>
          <t>E0134</t>
        </is>
      </c>
      <c r="B15" s="2" t="inlineStr">
        <is>
          <t>Q3_조건</t>
        </is>
      </c>
      <c r="C15" s="2" t="inlineStr">
        <is>
          <t>신한은행</t>
        </is>
      </c>
      <c r="D15" s="2" t="inlineStr">
        <is>
          <t>쏠편한 정기예금</t>
        </is>
      </c>
      <c r="E15" s="2" t="inlineStr">
        <is>
          <t>207-0135-12</t>
        </is>
      </c>
      <c r="F15" s="2" t="inlineStr">
        <is>
          <t>20,000원을 예치하려는 고객이 신한은행 '쏠편한 정기예금'의 최소 가입금액 요건을 충족하는가?</t>
        </is>
      </c>
      <c r="G15" s="2" t="inlineStr">
        <is>
          <t>YES</t>
        </is>
      </c>
      <c r="H15" s="2" t="inlineStr">
        <is>
          <t>쏠편한 정기예금 || 1만원 이상</t>
        </is>
      </c>
      <c r="I15" s="2" t="inlineStr">
        <is>
          <t>원문 금액 요건 '1만원 이상'(=10,000원) 대비 제시 금액 20,000원</t>
        </is>
      </c>
      <c r="J15" s="2" t="inlineStr">
        <is>
          <t>KR-FinReg-QA v1 (202607 공시) → 202608 공시로 근거 재검증 후 이식</t>
        </is>
      </c>
    </row>
    <row r="16">
      <c r="A16" s="2" t="inlineStr">
        <is>
          <t>E0138</t>
        </is>
      </c>
      <c r="B16" s="2" t="inlineStr">
        <is>
          <t>Q3_조건</t>
        </is>
      </c>
      <c r="C16" s="2" t="inlineStr">
        <is>
          <t>토스뱅크 주식회사</t>
        </is>
      </c>
      <c r="D16" s="2" t="inlineStr">
        <is>
          <t>토스뱅크 먼저 이자 받는 정기예금</t>
        </is>
      </c>
      <c r="E16" s="2" t="inlineStr">
        <is>
          <t>1001202000002</t>
        </is>
      </c>
      <c r="F16" s="2" t="inlineStr">
        <is>
          <t>만 14세인 실명의 개인이 토스뱅크 주식회사 '토스뱅크 먼저 이자 받는 정기예금'에 가입할 수 있는가? 연령 외의 요건은 모두 충족한다고 가정한다.</t>
        </is>
      </c>
      <c r="G16" s="2" t="inlineStr">
        <is>
          <t>NO</t>
        </is>
      </c>
      <c r="H16" s="2" t="inlineStr">
        <is>
          <t>토스뱅크 먼저 이자 받는 정기예금 || 만 17세 이상</t>
        </is>
      </c>
      <c r="I16" s="2" t="inlineStr">
        <is>
          <t>원문 연령 요건 '만 17세 이상' 대비 제시 연령 만 14세</t>
        </is>
      </c>
      <c r="J16" s="2" t="inlineStr">
        <is>
          <t>KR-FinReg-QA v1 (202607 공시) → 202608 공시로 근거 재검증 후 이식</t>
        </is>
      </c>
    </row>
    <row r="17">
      <c r="A17" s="2" t="inlineStr">
        <is>
          <t>E0140</t>
        </is>
      </c>
      <c r="B17" s="2" t="inlineStr">
        <is>
          <t>Q3_조건</t>
        </is>
      </c>
      <c r="C17" s="2" t="inlineStr">
        <is>
          <t>우리은행</t>
        </is>
      </c>
      <c r="D17" s="2" t="inlineStr">
        <is>
          <t>WON플러스예금</t>
        </is>
      </c>
      <c r="E17" s="2" t="inlineStr">
        <is>
          <t>WR0001B</t>
        </is>
      </c>
      <c r="F17" s="2" t="inlineStr">
        <is>
          <t>5,000원을 예치하려는 고객이 우리은행 'WON플러스예금'의 최소 가입금액 요건을 충족하는가?</t>
        </is>
      </c>
      <c r="G17" s="2" t="inlineStr">
        <is>
          <t>NO</t>
        </is>
      </c>
      <c r="H17" s="2" t="inlineStr">
        <is>
          <t>WON플러스예금 || 1만원 이상</t>
        </is>
      </c>
      <c r="I17" s="2" t="inlineStr">
        <is>
          <t>원문 금액 요건 '1만원 이상'(=10,000원) 대비 제시 금액 5,000원</t>
        </is>
      </c>
      <c r="J17" s="2" t="inlineStr">
        <is>
          <t>KR-FinReg-QA v1 (202607 공시) → 202608 공시로 근거 재검증 후 이식</t>
        </is>
      </c>
    </row>
    <row r="18">
      <c r="A18" s="2" t="inlineStr">
        <is>
          <t>E0145</t>
        </is>
      </c>
      <c r="B18" s="2" t="inlineStr">
        <is>
          <t>Q3_조건</t>
        </is>
      </c>
      <c r="C18" s="2" t="inlineStr">
        <is>
          <t>주식회사 카카오뱅크</t>
        </is>
      </c>
      <c r="D18" s="2" t="inlineStr">
        <is>
          <t>카카오뱅크 한달적금</t>
        </is>
      </c>
      <c r="E18" s="2" t="inlineStr">
        <is>
          <t>10-01-30-355-0006</t>
        </is>
      </c>
      <c r="F18" s="2" t="inlineStr">
        <is>
          <t>만 19세인 실명의 개인이 주식회사 카카오뱅크 '카카오뱅크 한달적금'에 가입할 수 있는가? 연령 외의 요건은 모두 충족한다고 가정한다.</t>
        </is>
      </c>
      <c r="G18" s="2" t="inlineStr">
        <is>
          <t>YES</t>
        </is>
      </c>
      <c r="H18" s="2" t="inlineStr">
        <is>
          <t>카카오뱅크 한달적금 || 만 14세 이상</t>
        </is>
      </c>
      <c r="I18" s="2" t="inlineStr">
        <is>
          <t>원문 연령 요건 '만 14세 이상' 대비 제시 연령 만 19세</t>
        </is>
      </c>
      <c r="J18" s="2" t="inlineStr">
        <is>
          <t>KR-FinReg-QA v1 (202607 공시) → 202608 공시로 근거 재검증 후 이식</t>
        </is>
      </c>
    </row>
    <row r="19">
      <c r="A19" s="2" t="inlineStr">
        <is>
          <t>E0162</t>
        </is>
      </c>
      <c r="B19" s="2" t="inlineStr">
        <is>
          <t>Q4_부재</t>
        </is>
      </c>
      <c r="C19" s="2" t="inlineStr">
        <is>
          <t>중소기업은행</t>
        </is>
      </c>
      <c r="D19" s="2" t="inlineStr">
        <is>
          <t>IBK중기근로자우대적금 (자유적립식)</t>
        </is>
      </c>
      <c r="E19" s="2" t="inlineStr">
        <is>
          <t>01211210122</t>
        </is>
      </c>
      <c r="F19" s="2" t="inlineStr">
        <is>
          <t>중소기업은행 'IBK중기근로자우대적금 (자유적립식)'의 예금채권을 타인에게 양도하거나 질권을 설정할 수 있는가?</t>
        </is>
      </c>
      <c r="G19" s="2" t="inlineStr">
        <is>
          <t>ABSTAIN</t>
        </is>
      </c>
      <c r="H19" s="2" t="inlineStr">
        <is>
          <t>(없음 — 보류가 정답)</t>
        </is>
      </c>
      <c r="I19" s="2" t="inlineStr">
        <is>
          <t>양도/질권 관련 서술이 원문 전체에 존재하지 않음</t>
        </is>
      </c>
      <c r="J19" s="2" t="inlineStr">
        <is>
          <t>KR-FinReg-QA v1 (202607 공시) → 202608 공시로 근거 재검증 후 이식</t>
        </is>
      </c>
    </row>
    <row r="20">
      <c r="A20" s="2" t="inlineStr">
        <is>
          <t>E0164</t>
        </is>
      </c>
      <c r="B20" s="2" t="inlineStr">
        <is>
          <t>Q4_부재</t>
        </is>
      </c>
      <c r="C20" s="2" t="inlineStr">
        <is>
          <t>전북은행</t>
        </is>
      </c>
      <c r="D20" s="2" t="inlineStr">
        <is>
          <t>JB 다이렉트적금(정액적립식)</t>
        </is>
      </c>
      <c r="E20" s="2" t="inlineStr">
        <is>
          <t>10-01-30-031-0036</t>
        </is>
      </c>
      <c r="F20" s="2" t="inlineStr">
        <is>
          <t>가입자 사망 시 상속인의 승계 절차가 전북은행 'JB 다이렉트적금(정액적립식)'에 별도로 정해져 있는가?</t>
        </is>
      </c>
      <c r="G20" s="2" t="inlineStr">
        <is>
          <t>ABSTAIN</t>
        </is>
      </c>
      <c r="H20" s="2" t="inlineStr">
        <is>
          <t>(없음 — 보류가 정답)</t>
        </is>
      </c>
      <c r="I20" s="2" t="inlineStr">
        <is>
          <t>상속 관련 서술이 원문 전체에 존재하지 않음</t>
        </is>
      </c>
      <c r="J20" s="2" t="inlineStr">
        <is>
          <t>KR-FinReg-QA v1 (202607 공시) → 202608 공시로 근거 재검증 후 이식</t>
        </is>
      </c>
    </row>
    <row r="21">
      <c r="A21" s="2" t="inlineStr">
        <is>
          <t>E0187</t>
        </is>
      </c>
      <c r="B21" s="2" t="inlineStr">
        <is>
          <t>Q4_부재</t>
        </is>
      </c>
      <c r="C21" s="2" t="inlineStr">
        <is>
          <t>국민은행</t>
        </is>
      </c>
      <c r="D21" s="2" t="inlineStr">
        <is>
          <t>KB국민프리미엄적금(정액)</t>
        </is>
      </c>
      <c r="E21" s="2" t="inlineStr">
        <is>
          <t>010200100051</t>
        </is>
      </c>
      <c r="F21" s="2" t="inlineStr">
        <is>
          <t>국민은행 'KB국민프리미엄적금(정액)'에 비과세 혜택이 적용되는가?</t>
        </is>
      </c>
      <c r="G21" s="2" t="inlineStr">
        <is>
          <t>ABSTAIN</t>
        </is>
      </c>
      <c r="H21" s="2" t="inlineStr">
        <is>
          <t>(없음 — 보류가 정답)</t>
        </is>
      </c>
      <c r="I21" s="2" t="inlineStr">
        <is>
          <t>비과세 관련 서술이 원문 전체에 존재하지 않음</t>
        </is>
      </c>
      <c r="J21" s="2" t="inlineStr">
        <is>
          <t>KR-FinReg-QA v1 (202607 공시) → 202608 공시로 근거 재검증 후 이식</t>
        </is>
      </c>
    </row>
    <row r="22">
      <c r="A22" s="2" t="inlineStr">
        <is>
          <t>E0198</t>
        </is>
      </c>
      <c r="B22" s="2" t="inlineStr">
        <is>
          <t>Q4_부재</t>
        </is>
      </c>
      <c r="C22" s="2" t="inlineStr">
        <is>
          <t>부산은행</t>
        </is>
      </c>
      <c r="D22" s="2" t="inlineStr">
        <is>
          <t>더(The) 특판 정기예금</t>
        </is>
      </c>
      <c r="E22" s="2" t="inlineStr">
        <is>
          <t>01030500560002</t>
        </is>
      </c>
      <c r="F22" s="2" t="inlineStr">
        <is>
          <t>부산은행 '더(The) 특판 정기예금'에 비과세 혜택이 적용되는가?</t>
        </is>
      </c>
      <c r="G22" s="2" t="inlineStr">
        <is>
          <t>ABSTAIN</t>
        </is>
      </c>
      <c r="H22" s="2" t="inlineStr">
        <is>
          <t>(없음 — 보류가 정답)</t>
        </is>
      </c>
      <c r="I22" s="2" t="inlineStr">
        <is>
          <t>비과세 관련 서술이 원문 전체에 존재하지 않음</t>
        </is>
      </c>
      <c r="J22" s="2" t="inlineStr">
        <is>
          <t>KR-FinReg-QA v1 (202607 공시) → 202608 공시로 근거 재검증 후 이식</t>
        </is>
      </c>
    </row>
    <row r="23">
      <c r="A23" s="2" t="inlineStr">
        <is>
          <t>E0213</t>
        </is>
      </c>
      <c r="B23" s="2" t="inlineStr">
        <is>
          <t>Q4_부재</t>
        </is>
      </c>
      <c r="C23" s="2" t="inlineStr">
        <is>
          <t>토스뱅크 주식회사</t>
        </is>
      </c>
      <c r="D23" s="2" t="inlineStr">
        <is>
          <t>토스뱅크 먼저 이자 받는 정기예금</t>
        </is>
      </c>
      <c r="E23" s="2" t="inlineStr">
        <is>
          <t>1001202000002</t>
        </is>
      </c>
      <c r="F23" s="2" t="inlineStr">
        <is>
          <t>토스뱅크 주식회사 '토스뱅크 먼저 이자 받는 정기예금' 상품에 대해: 만기 전에 예치금의 일부만 분할하여 인출할 수 있는가?</t>
        </is>
      </c>
      <c r="G23" s="2" t="inlineStr">
        <is>
          <t>ABSTAIN</t>
        </is>
      </c>
      <c r="H23" s="2" t="inlineStr">
        <is>
          <t>(없음 — 보류가 정답)</t>
        </is>
      </c>
      <c r="I23" s="2" t="inlineStr">
        <is>
          <t>분할인출 관련 서술이 원문 전체에 존재하지 않음</t>
        </is>
      </c>
      <c r="J23" s="2" t="inlineStr">
        <is>
          <t>KR-FinReg-QA v1 (202607 공시) → 202608 공시로 근거 재검증 후 이식</t>
        </is>
      </c>
    </row>
    <row r="24">
      <c r="A24" s="2" t="inlineStr">
        <is>
          <t>E0229</t>
        </is>
      </c>
      <c r="B24" s="2" t="inlineStr">
        <is>
          <t>Q5_비적용</t>
        </is>
      </c>
      <c r="C24" s="2" t="inlineStr">
        <is>
          <t>제주은행</t>
        </is>
      </c>
      <c r="D24" s="2" t="inlineStr">
        <is>
          <t>스마일드림 정기예금 (개인/선이자 지급식)</t>
        </is>
      </c>
      <c r="E24" s="2" t="inlineStr">
        <is>
          <t>101272000058</t>
        </is>
      </c>
      <c r="F24" s="2" t="inlineStr">
        <is>
          <t>제주은행 '스마일드림 정기예금 (개인/선이자 지급식)'의 최고 우대금리는 연 0.6%p 이상인가?</t>
        </is>
      </c>
      <c r="G24" s="2" t="inlineStr">
        <is>
          <t>NO</t>
        </is>
      </c>
      <c r="H24" s="2" t="inlineStr">
        <is>
          <t>스마일드림 정기예금 (개인/선이자 지급식) || 최고0.3%</t>
        </is>
      </c>
      <c r="I24" s="2" t="inlineStr">
        <is>
          <t>원문 최고 우대금리 '최고0.3%'(=0.3%p) 대비 제시 0.6%p</t>
        </is>
      </c>
      <c r="J24" s="2" t="inlineStr">
        <is>
          <t>KR-FinReg-QA v1 (202607 공시) → 202608 공시로 근거 재검증 후 이식</t>
        </is>
      </c>
    </row>
    <row r="25">
      <c r="A25" s="2" t="inlineStr">
        <is>
          <t>E0232</t>
        </is>
      </c>
      <c r="B25" s="2" t="inlineStr">
        <is>
          <t>Q5_비적용</t>
        </is>
      </c>
      <c r="C25" s="2" t="inlineStr">
        <is>
          <t>중소기업은행</t>
        </is>
      </c>
      <c r="D25" s="2" t="inlineStr">
        <is>
          <t>IBK모으기통장(자유적립식)</t>
        </is>
      </c>
      <c r="E25" s="2" t="inlineStr">
        <is>
          <t>01211210129</t>
        </is>
      </c>
      <c r="F25" s="2" t="inlineStr">
        <is>
          <t>중소기업은행 'IBK모으기통장(자유적립식)'의 최고 우대금리는 연 0.4%p 이상인가?</t>
        </is>
      </c>
      <c r="G25" s="2" t="inlineStr">
        <is>
          <t>NO</t>
        </is>
      </c>
      <c r="H25" s="2" t="inlineStr">
        <is>
          <t>IBK모으기통장(자유적립식) || 최고 연 0.20%p</t>
        </is>
      </c>
      <c r="I25" s="2" t="inlineStr">
        <is>
          <t>원문 최고 우대금리 '최고 연 0.20%p'(=0.2%p) 대비 제시 0.4%p</t>
        </is>
      </c>
      <c r="J25" s="2" t="inlineStr">
        <is>
          <t>KR-FinReg-QA v1 (202607 공시) → 202608 공시로 근거 재검증 후 이식</t>
        </is>
      </c>
    </row>
    <row r="26">
      <c r="A26" s="2" t="inlineStr">
        <is>
          <t>E0233</t>
        </is>
      </c>
      <c r="B26" s="2" t="inlineStr">
        <is>
          <t>Q5_비적용</t>
        </is>
      </c>
      <c r="C26" s="2" t="inlineStr">
        <is>
          <t>중소기업은행</t>
        </is>
      </c>
      <c r="D26" s="2" t="inlineStr">
        <is>
          <t>IBK탄소제로적금(자유적립식)</t>
        </is>
      </c>
      <c r="E26" s="2" t="inlineStr">
        <is>
          <t>01211210121</t>
        </is>
      </c>
      <c r="F26" s="2" t="inlineStr">
        <is>
          <t>중소기업은행 'IBK탄소제로적금(자유적립식)'의 최고 우대금리는 연 1.0%p 이상인가?</t>
        </is>
      </c>
      <c r="G26" s="2" t="inlineStr">
        <is>
          <t>YES</t>
        </is>
      </c>
      <c r="H26" s="2" t="inlineStr">
        <is>
          <t>IBK탄소제로적금(자유적립식) || 최고 연 2.00%p</t>
        </is>
      </c>
      <c r="I26" s="2" t="inlineStr">
        <is>
          <t>원문 최고 우대금리 '최고 연 2.00%p'(=2.0%p) 대비 제시 1.0%p</t>
        </is>
      </c>
      <c r="J26" s="2" t="inlineStr">
        <is>
          <t>KR-FinReg-QA v1 (202607 공시) → 202608 공시로 근거 재검증 후 이식</t>
        </is>
      </c>
    </row>
    <row r="27">
      <c r="A27" s="2" t="inlineStr">
        <is>
          <t>E0234</t>
        </is>
      </c>
      <c r="B27" s="2" t="inlineStr">
        <is>
          <t>Q5_비적용</t>
        </is>
      </c>
      <c r="C27" s="2" t="inlineStr">
        <is>
          <t>신한은행</t>
        </is>
      </c>
      <c r="D27" s="2" t="inlineStr">
        <is>
          <t>신한My플러스 정기예금</t>
        </is>
      </c>
      <c r="E27" s="2" t="inlineStr">
        <is>
          <t>207-0134-16</t>
        </is>
      </c>
      <c r="F27" s="2" t="inlineStr">
        <is>
          <t>신한은행 '신한My플러스 정기예금'의 최고 우대금리는 연 0.4%p 이상인가?</t>
        </is>
      </c>
      <c r="G27" s="2" t="inlineStr">
        <is>
          <t>NO</t>
        </is>
      </c>
      <c r="H27" s="2" t="inlineStr">
        <is>
          <t>신한My플러스 정기예금 || 최고 연 0.2%</t>
        </is>
      </c>
      <c r="I27" s="2" t="inlineStr">
        <is>
          <t>원문 최고 우대금리 '최고 연 0.2%'(=0.2%p) 대비 제시 0.4%p</t>
        </is>
      </c>
      <c r="J27" s="2" t="inlineStr">
        <is>
          <t>KR-FinReg-QA v1 (202607 공시) → 202608 공시로 근거 재검증 후 이식</t>
        </is>
      </c>
    </row>
    <row r="28">
      <c r="A28" s="2" t="inlineStr">
        <is>
          <t>E0236</t>
        </is>
      </c>
      <c r="B28" s="2" t="inlineStr">
        <is>
          <t>Q5_비적용</t>
        </is>
      </c>
      <c r="C28" s="2" t="inlineStr">
        <is>
          <t>중소기업은행</t>
        </is>
      </c>
      <c r="D28" s="2" t="inlineStr">
        <is>
          <t>IBK탄소제로적금(자유적립식)</t>
        </is>
      </c>
      <c r="E28" s="2" t="inlineStr">
        <is>
          <t>01211210121</t>
        </is>
      </c>
      <c r="F28" s="2" t="inlineStr">
        <is>
          <t>중소기업은행 'IBK탄소제로적금(자유적립식)'의 최고 우대금리는 연 4.0%p 이상인가?</t>
        </is>
      </c>
      <c r="G28" s="2" t="inlineStr">
        <is>
          <t>NO</t>
        </is>
      </c>
      <c r="H28" s="2" t="inlineStr">
        <is>
          <t>IBK탄소제로적금(자유적립식) || 최고 연 2.00%p</t>
        </is>
      </c>
      <c r="I28" s="2" t="inlineStr">
        <is>
          <t>원문 최고 우대금리 '최고 연 2.00%p'(=2.0%p) 대비 제시 4.0%p</t>
        </is>
      </c>
      <c r="J28" s="2" t="inlineStr">
        <is>
          <t>KR-FinReg-QA v1 (202607 공시) → 202608 공시로 근거 재검증 후 이식</t>
        </is>
      </c>
    </row>
    <row r="29">
      <c r="A29" s="2" t="inlineStr">
        <is>
          <t>E0237</t>
        </is>
      </c>
      <c r="B29" s="2" t="inlineStr">
        <is>
          <t>Q5_비적용</t>
        </is>
      </c>
      <c r="C29" s="2" t="inlineStr">
        <is>
          <t>제주은행</t>
        </is>
      </c>
      <c r="D29" s="2" t="inlineStr">
        <is>
          <t>제주Dream 정기예금 (개인/만기 지급식)</t>
        </is>
      </c>
      <c r="E29" s="2" t="inlineStr">
        <is>
          <t>101272000006</t>
        </is>
      </c>
      <c r="F29" s="2" t="inlineStr">
        <is>
          <t>제주은행 '제주Dream 정기예금 (개인/만기 지급식)'의 최고 우대금리는 연 0.2%p 이상인가?</t>
        </is>
      </c>
      <c r="G29" s="2" t="inlineStr">
        <is>
          <t>NO</t>
        </is>
      </c>
      <c r="H29" s="2" t="inlineStr">
        <is>
          <t>제주Dream 정기예금 (개인/만기 지급식) || 최고 연 0.1%p</t>
        </is>
      </c>
      <c r="I29" s="2" t="inlineStr">
        <is>
          <t>원문 최고 우대금리 '최고 연 0.1%p'(=0.1%p) 대비 제시 0.2%p</t>
        </is>
      </c>
      <c r="J29" s="2" t="inlineStr">
        <is>
          <t>KR-FinReg-QA v1 (202607 공시) → 202608 공시로 근거 재검증 후 이식</t>
        </is>
      </c>
    </row>
    <row r="30">
      <c r="A30" s="2" t="inlineStr">
        <is>
          <t>E0238</t>
        </is>
      </c>
      <c r="B30" s="2" t="inlineStr">
        <is>
          <t>Q5_비적용</t>
        </is>
      </c>
      <c r="C30" s="2" t="inlineStr">
        <is>
          <t>광주은행</t>
        </is>
      </c>
      <c r="D30" s="2" t="inlineStr">
        <is>
          <t>미즈월복리정기예금</t>
        </is>
      </c>
      <c r="E30" s="2" t="inlineStr">
        <is>
          <t>TD11300027000</t>
        </is>
      </c>
      <c r="F30" s="2" t="inlineStr">
        <is>
          <t>광주은행 '미즈월복리정기예금'의 최고 우대금리는 연 0.1%p 이상인가?</t>
        </is>
      </c>
      <c r="G30" s="2" t="inlineStr">
        <is>
          <t>YES</t>
        </is>
      </c>
      <c r="H30" s="2" t="inlineStr">
        <is>
          <t>미즈월복리정기예금 || 최고우대금리 0.2%</t>
        </is>
      </c>
      <c r="I30" s="2" t="inlineStr">
        <is>
          <t>원문 최고 우대금리 '최고우대금리 0.2%'(=0.2%p) 대비 제시 0.1%p</t>
        </is>
      </c>
      <c r="J30" s="2" t="inlineStr">
        <is>
          <t>KR-FinReg-QA v1 (202607 공시) → 202608 공시로 근거 재검증 후 이식</t>
        </is>
      </c>
    </row>
    <row r="31">
      <c r="A31" s="2" t="inlineStr">
        <is>
          <t>E0239</t>
        </is>
      </c>
      <c r="B31" s="2" t="inlineStr">
        <is>
          <t>Q5_비적용</t>
        </is>
      </c>
      <c r="C31" s="2" t="inlineStr">
        <is>
          <t>중소기업은행</t>
        </is>
      </c>
      <c r="D31" s="2" t="inlineStr">
        <is>
          <t>IBK평생한가족통장(실세금리정기예금)</t>
        </is>
      </c>
      <c r="E31" s="2" t="inlineStr">
        <is>
          <t>01211310121</t>
        </is>
      </c>
      <c r="F31" s="2" t="inlineStr">
        <is>
          <t>중소기업은행 'IBK평생한가족통장(실세금리정기예금)'의 최고 우대금리는 연 0.4%p 이상인가?</t>
        </is>
      </c>
      <c r="G31" s="2" t="inlineStr">
        <is>
          <t>NO</t>
        </is>
      </c>
      <c r="H31" s="2" t="inlineStr">
        <is>
          <t>IBK평생한가족통장(실세금리정기예금) || 최고 연 0.20%p</t>
        </is>
      </c>
      <c r="I31" s="2" t="inlineStr">
        <is>
          <t>원문 최고 우대금리 '최고 연 0.20%p'(=0.2%p) 대비 제시 0.4%p</t>
        </is>
      </c>
      <c r="J31" s="2" t="inlineStr">
        <is>
          <t>KR-FinReg-QA v1 (202607 공시) → 202608 공시로 근거 재검증 후 이식</t>
        </is>
      </c>
    </row>
    <row r="32">
      <c r="A32" s="2" t="inlineStr">
        <is>
          <t>E0240</t>
        </is>
      </c>
      <c r="B32" s="2" t="inlineStr">
        <is>
          <t>Q5_비적용</t>
        </is>
      </c>
      <c r="C32" s="2" t="inlineStr">
        <is>
          <t>신한은행</t>
        </is>
      </c>
      <c r="D32" s="2" t="inlineStr">
        <is>
          <t>신한 알.쏠 적금</t>
        </is>
      </c>
      <c r="E32" s="2" t="inlineStr">
        <is>
          <t>230-0119-85</t>
        </is>
      </c>
      <c r="F32" s="2" t="inlineStr">
        <is>
          <t>신한은행 '신한 알.쏠 적금'의 최고 우대금리는 연 2.6%p 이상인가?</t>
        </is>
      </c>
      <c r="G32" s="2" t="inlineStr">
        <is>
          <t>NO</t>
        </is>
      </c>
      <c r="H32" s="2" t="inlineStr">
        <is>
          <t>신한 알.쏠 적금 || 최고 연 1.30%</t>
        </is>
      </c>
      <c r="I32" s="2" t="inlineStr">
        <is>
          <t>원문 최고 우대금리 '최고 연 1.30%'(=1.3%p) 대비 제시 2.6%p</t>
        </is>
      </c>
      <c r="J32" s="2" t="inlineStr">
        <is>
          <t>KR-FinReg-QA v1 (202607 공시) → 202608 공시로 근거 재검증 후 이식</t>
        </is>
      </c>
    </row>
    <row r="33">
      <c r="A33" s="2" t="inlineStr">
        <is>
          <t>E0243</t>
        </is>
      </c>
      <c r="B33" s="2" t="inlineStr">
        <is>
          <t>Q5_비적용</t>
        </is>
      </c>
      <c r="C33" s="2" t="inlineStr">
        <is>
          <t>주식회사 하나은행</t>
        </is>
      </c>
      <c r="D33" s="2" t="inlineStr">
        <is>
          <t>주거래하나 월복리적금</t>
        </is>
      </c>
      <c r="E33" s="2" t="inlineStr">
        <is>
          <t>52</t>
        </is>
      </c>
      <c r="F33" s="2" t="inlineStr">
        <is>
          <t>주식회사 하나은행 '주거래하나 월복리적금'의 최고 우대금리는 연 2.0%p 이상인가?</t>
        </is>
      </c>
      <c r="G33" s="2" t="inlineStr">
        <is>
          <t>NO</t>
        </is>
      </c>
      <c r="H33" s="2" t="inlineStr">
        <is>
          <t>주거래하나 월복리적금 || 최고 연1.0%</t>
        </is>
      </c>
      <c r="I33" s="2" t="inlineStr">
        <is>
          <t>원문 최고 우대금리 '최고 연1.0%'(=1.0%p) 대비 제시 2.0%p</t>
        </is>
      </c>
      <c r="J33" s="2" t="inlineStr">
        <is>
          <t>KR-FinReg-QA v1 (202607 공시) → 202608 공시로 근거 재검증 후 이식</t>
        </is>
      </c>
    </row>
    <row r="34">
      <c r="A34" s="2" t="inlineStr">
        <is>
          <t>E0244</t>
        </is>
      </c>
      <c r="B34" s="2" t="inlineStr">
        <is>
          <t>Q5_비적용</t>
        </is>
      </c>
      <c r="C34" s="2" t="inlineStr">
        <is>
          <t>농협은행주식회사</t>
        </is>
      </c>
      <c r="D34" s="2" t="inlineStr">
        <is>
          <t>NH올원e 미니적금</t>
        </is>
      </c>
      <c r="E34" s="2" t="inlineStr">
        <is>
          <t>10-047-1360-0002</t>
        </is>
      </c>
      <c r="F34" s="2" t="inlineStr">
        <is>
          <t>농협은행주식회사 'NH올원e 미니적금'의 최고 우대금리는 연 0.25%p 이상인가?</t>
        </is>
      </c>
      <c r="G34" s="2" t="inlineStr">
        <is>
          <t>YES</t>
        </is>
      </c>
      <c r="H34" s="2" t="inlineStr">
        <is>
          <t>NH올원e 미니적금 || 최고 0.5%p</t>
        </is>
      </c>
      <c r="I34" s="2" t="inlineStr">
        <is>
          <t>원문 최고 우대금리 '최고 0.5%p'(=0.5%p) 대비 제시 0.25%p</t>
        </is>
      </c>
      <c r="J34" s="2" t="inlineStr">
        <is>
          <t>KR-FinReg-QA v1 (202607 공시) → 202608 공시로 근거 재검증 후 이식</t>
        </is>
      </c>
    </row>
    <row r="35">
      <c r="A35" s="2" t="inlineStr">
        <is>
          <t>E0245</t>
        </is>
      </c>
      <c r="B35" s="2" t="inlineStr">
        <is>
          <t>Q5_비적용</t>
        </is>
      </c>
      <c r="C35" s="2" t="inlineStr">
        <is>
          <t>농협은행주식회사</t>
        </is>
      </c>
      <c r="D35" s="2" t="inlineStr">
        <is>
          <t>NH올원e 미니적금</t>
        </is>
      </c>
      <c r="E35" s="2" t="inlineStr">
        <is>
          <t>10-047-1360-0002</t>
        </is>
      </c>
      <c r="F35" s="2" t="inlineStr">
        <is>
          <t>농협은행주식회사 'NH올원e 미니적금'의 최고 우대금리는 연 1.0%p 이상인가?</t>
        </is>
      </c>
      <c r="G35" s="2" t="inlineStr">
        <is>
          <t>NO</t>
        </is>
      </c>
      <c r="H35" s="2" t="inlineStr">
        <is>
          <t>NH올원e 미니적금 || 최고 0.5%p</t>
        </is>
      </c>
      <c r="I35" s="2" t="inlineStr">
        <is>
          <t>원문 최고 우대금리 '최고 0.5%p'(=0.5%p) 대비 제시 1.0%p</t>
        </is>
      </c>
      <c r="J35" s="2" t="inlineStr">
        <is>
          <t>KR-FinReg-QA v1 (202607 공시) → 202608 공시로 근거 재검증 후 이식</t>
        </is>
      </c>
    </row>
    <row r="36">
      <c r="A36" s="2" t="inlineStr">
        <is>
          <t>E0246</t>
        </is>
      </c>
      <c r="B36" s="2" t="inlineStr">
        <is>
          <t>Q5_비적용</t>
        </is>
      </c>
      <c r="C36" s="2" t="inlineStr">
        <is>
          <t>국민은행</t>
        </is>
      </c>
      <c r="D36" s="2" t="inlineStr">
        <is>
          <t>KB맑은하늘적금</t>
        </is>
      </c>
      <c r="E36" s="2" t="inlineStr">
        <is>
          <t>010200100084</t>
        </is>
      </c>
      <c r="F36" s="2" t="inlineStr">
        <is>
          <t>국민은행 'KB맑은하늘적금'의 최고 우대금리는 연 0.4%p 이상인가?</t>
        </is>
      </c>
      <c r="G36" s="2" t="inlineStr">
        <is>
          <t>YES</t>
        </is>
      </c>
      <c r="H36" s="2" t="inlineStr">
        <is>
          <t>KB맑은하늘적금 || 최고 연 0.8%p</t>
        </is>
      </c>
      <c r="I36" s="2" t="inlineStr">
        <is>
          <t>원문 최고 우대금리 '최고 연 0.8%p'(=0.8%p) 대비 제시 0.4%p</t>
        </is>
      </c>
      <c r="J36" s="2" t="inlineStr">
        <is>
          <t>KR-FinReg-QA v1 (202607 공시) → 202608 공시로 근거 재검증 후 이식</t>
        </is>
      </c>
    </row>
    <row r="37">
      <c r="A37" s="2" t="inlineStr">
        <is>
          <t>E0247</t>
        </is>
      </c>
      <c r="B37" s="2" t="inlineStr">
        <is>
          <t>Q5_비적용</t>
        </is>
      </c>
      <c r="C37" s="2" t="inlineStr">
        <is>
          <t>아이엠뱅크</t>
        </is>
      </c>
      <c r="D37" s="2" t="inlineStr">
        <is>
          <t>iM함께적금</t>
        </is>
      </c>
      <c r="E37" s="2" t="inlineStr">
        <is>
          <t>10521001001166004</t>
        </is>
      </c>
      <c r="F37" s="2" t="inlineStr">
        <is>
          <t>아이엠뱅크 'iM함께적금'의 최고 우대금리는 연 1.7%p 이상인가?</t>
        </is>
      </c>
      <c r="G37" s="2" t="inlineStr">
        <is>
          <t>NO</t>
        </is>
      </c>
      <c r="H37" s="2" t="inlineStr">
        <is>
          <t>iM함께적금 || 최고우대금리:연0.85%p</t>
        </is>
      </c>
      <c r="I37" s="2" t="inlineStr">
        <is>
          <t>원문 최고 우대금리 '최고우대금리:연0.85%p'(=0.85%p) 대비 제시 1.7%p</t>
        </is>
      </c>
      <c r="J37" s="2" t="inlineStr">
        <is>
          <t>KR-FinReg-QA v1 (202607 공시) → 202608 공시로 근거 재검증 후 이식</t>
        </is>
      </c>
    </row>
    <row r="38">
      <c r="A38" s="2" t="inlineStr">
        <is>
          <t>E0248</t>
        </is>
      </c>
      <c r="B38" s="2" t="inlineStr">
        <is>
          <t>Q5_비적용</t>
        </is>
      </c>
      <c r="C38" s="2" t="inlineStr">
        <is>
          <t>국민은행</t>
        </is>
      </c>
      <c r="D38" s="2" t="inlineStr">
        <is>
          <t>KB 특★한 적금</t>
        </is>
      </c>
      <c r="E38" s="2" t="inlineStr">
        <is>
          <t>010200100104</t>
        </is>
      </c>
      <c r="F38" s="2" t="inlineStr">
        <is>
          <t>국민은행 'KB 특★한 적금'의 최고 우대금리는 연 8.0%p 이상인가?</t>
        </is>
      </c>
      <c r="G38" s="2" t="inlineStr">
        <is>
          <t>NO</t>
        </is>
      </c>
      <c r="H38" s="2" t="inlineStr">
        <is>
          <t>KB 특★한 적금 || 최고 연 4.0%p</t>
        </is>
      </c>
      <c r="I38" s="2" t="inlineStr">
        <is>
          <t>원문 최고 우대금리 '최고 연 4.0%p'(=4.0%p) 대비 제시 8.0%p</t>
        </is>
      </c>
      <c r="J38" s="2" t="inlineStr">
        <is>
          <t>KR-FinReg-QA v1 (202607 공시) → 202608 공시로 근거 재검증 후 이식</t>
        </is>
      </c>
    </row>
    <row r="39">
      <c r="A39" s="2" t="inlineStr">
        <is>
          <t>E0249</t>
        </is>
      </c>
      <c r="B39" s="2" t="inlineStr">
        <is>
          <t>Q5_비적용</t>
        </is>
      </c>
      <c r="C39" s="2" t="inlineStr">
        <is>
          <t>광주은행</t>
        </is>
      </c>
      <c r="D39" s="2" t="inlineStr">
        <is>
          <t>VIP플러스적금</t>
        </is>
      </c>
      <c r="E39" s="2" t="inlineStr">
        <is>
          <t>TD11330031000</t>
        </is>
      </c>
      <c r="F39" s="2" t="inlineStr">
        <is>
          <t>광주은행 'VIP플러스적금'의 최고 우대금리는 연 1.0%p 이상인가?</t>
        </is>
      </c>
      <c r="G39" s="2" t="inlineStr">
        <is>
          <t>NO</t>
        </is>
      </c>
      <c r="H39" s="2" t="inlineStr">
        <is>
          <t>VIP플러스적금 || 최고우대금리 0.50%p</t>
        </is>
      </c>
      <c r="I39" s="2" t="inlineStr">
        <is>
          <t>원문 최고 우대금리 '최고우대금리 0.50%p'(=0.5%p) 대비 제시 1.0%p</t>
        </is>
      </c>
      <c r="J39" s="2" t="inlineStr">
        <is>
          <t>KR-FinReg-QA v1 (202607 공시) → 202608 공시로 근거 재검증 후 이식</t>
        </is>
      </c>
    </row>
    <row r="40">
      <c r="A40" s="2" t="inlineStr">
        <is>
          <t>E0252</t>
        </is>
      </c>
      <c r="B40" s="2" t="inlineStr">
        <is>
          <t>Q5_비적용</t>
        </is>
      </c>
      <c r="C40" s="2" t="inlineStr">
        <is>
          <t>제주은행</t>
        </is>
      </c>
      <c r="D40" s="2" t="inlineStr">
        <is>
          <t>사이버우대매일부금</t>
        </is>
      </c>
      <c r="E40" s="2" t="inlineStr">
        <is>
          <t>220002701</t>
        </is>
      </c>
      <c r="F40" s="2" t="inlineStr">
        <is>
          <t>제주은행 '사이버우대매일부금'의 최고 우대금리는 연 0.2%p 이상인가?</t>
        </is>
      </c>
      <c r="G40" s="2" t="inlineStr">
        <is>
          <t>YES</t>
        </is>
      </c>
      <c r="H40" s="2" t="inlineStr">
        <is>
          <t>사이버우대매일부금 || 최고 0.4%p</t>
        </is>
      </c>
      <c r="I40" s="2" t="inlineStr">
        <is>
          <t>원문 최고 우대금리 '최고 0.4%p'(=0.4%p) 대비 제시 0.2%p</t>
        </is>
      </c>
      <c r="J40" s="2" t="inlineStr">
        <is>
          <t>KR-FinReg-QA v1 (202607 공시) → 202608 공시로 근거 재검증 후 이식</t>
        </is>
      </c>
    </row>
    <row r="41">
      <c r="A41" s="2" t="inlineStr">
        <is>
          <t>E0253</t>
        </is>
      </c>
      <c r="B41" s="2" t="inlineStr">
        <is>
          <t>Q5_비적용</t>
        </is>
      </c>
      <c r="C41" s="2" t="inlineStr">
        <is>
          <t>광주은행</t>
        </is>
      </c>
      <c r="D41" s="2" t="inlineStr">
        <is>
          <t>해피라이프_여행스케치적금V</t>
        </is>
      </c>
      <c r="E41" s="2" t="inlineStr">
        <is>
          <t>TD11330029000</t>
        </is>
      </c>
      <c r="F41" s="2" t="inlineStr">
        <is>
          <t>광주은행 '해피라이프_여행스케치적금V'의 최고 우대금리는 연 2.4%p 이상인가?</t>
        </is>
      </c>
      <c r="G41" s="2" t="inlineStr">
        <is>
          <t>NO</t>
        </is>
      </c>
      <c r="H41" s="2" t="inlineStr">
        <is>
          <t>해피라이프_여행스케치적금V || 최고우대금리 1.20%p</t>
        </is>
      </c>
      <c r="I41" s="2" t="inlineStr">
        <is>
          <t>원문 최고 우대금리 '최고우대금리 1.20%p'(=1.2%p) 대비 제시 2.4%p</t>
        </is>
      </c>
      <c r="J41" s="2" t="inlineStr">
        <is>
          <t>KR-FinReg-QA v1 (202607 공시) → 202608 공시로 근거 재검증 후 이식</t>
        </is>
      </c>
    </row>
    <row r="42">
      <c r="A42" s="2" t="inlineStr">
        <is>
          <t>E0256</t>
        </is>
      </c>
      <c r="B42" s="2" t="inlineStr">
        <is>
          <t>Q5_비적용</t>
        </is>
      </c>
      <c r="C42" s="2" t="inlineStr">
        <is>
          <t>국민은행</t>
        </is>
      </c>
      <c r="D42" s="2" t="inlineStr">
        <is>
          <t>KB내맘대로적금</t>
        </is>
      </c>
      <c r="E42" s="2" t="inlineStr">
        <is>
          <t>010200100070</t>
        </is>
      </c>
      <c r="F42" s="2" t="inlineStr">
        <is>
          <t>국민은행 'KB내맘대로적금'의 최고 우대금리는 연 1.2%p 이상인가?</t>
        </is>
      </c>
      <c r="G42" s="2" t="inlineStr">
        <is>
          <t>NO</t>
        </is>
      </c>
      <c r="H42" s="2" t="inlineStr">
        <is>
          <t>KB내맘대로적금 || 최고 연0.6%p</t>
        </is>
      </c>
      <c r="I42" s="2" t="inlineStr">
        <is>
          <t>원문 최고 우대금리 '최고 연0.6%p'(=0.6%p) 대비 제시 1.2%p</t>
        </is>
      </c>
      <c r="J42" s="2" t="inlineStr">
        <is>
          <t>KR-FinReg-QA v1 (202607 공시) → 202608 공시로 근거 재검증 후 이식</t>
        </is>
      </c>
    </row>
    <row r="43">
      <c r="A43" s="2" t="inlineStr">
        <is>
          <t>E0259</t>
        </is>
      </c>
      <c r="B43" s="2" t="inlineStr">
        <is>
          <t>Q5_비적용</t>
        </is>
      </c>
      <c r="C43" s="2" t="inlineStr">
        <is>
          <t>아이엠뱅크</t>
        </is>
      </c>
      <c r="D43" s="2" t="inlineStr">
        <is>
          <t>iM함께예금</t>
        </is>
      </c>
      <c r="E43" s="2" t="inlineStr">
        <is>
          <t>10511008001166004</t>
        </is>
      </c>
      <c r="F43" s="2" t="inlineStr">
        <is>
          <t>아이엠뱅크 'iM함께예금'의 최고 우대금리는 연 0.9%p 이상인가?</t>
        </is>
      </c>
      <c r="G43" s="2" t="inlineStr">
        <is>
          <t>NO</t>
        </is>
      </c>
      <c r="H43" s="2" t="inlineStr">
        <is>
          <t>iM함께예금 || 최고우대금리: 연0.45%p</t>
        </is>
      </c>
      <c r="I43" s="2" t="inlineStr">
        <is>
          <t>원문 최고 우대금리 '최고우대금리: 연0.45%p'(=0.45%p) 대비 제시 0.9%p</t>
        </is>
      </c>
      <c r="J43" s="2" t="inlineStr">
        <is>
          <t>KR-FinReg-QA v1 (202607 공시) → 202608 공시로 근거 재검증 후 이식</t>
        </is>
      </c>
    </row>
    <row r="44">
      <c r="A44" s="2" t="inlineStr">
        <is>
          <t>E0260</t>
        </is>
      </c>
      <c r="B44" s="2" t="inlineStr">
        <is>
          <t>Q5_비적용</t>
        </is>
      </c>
      <c r="C44" s="2" t="inlineStr">
        <is>
          <t>신한은행</t>
        </is>
      </c>
      <c r="D44" s="2" t="inlineStr">
        <is>
          <t>신한 알.쏠 적금</t>
        </is>
      </c>
      <c r="E44" s="2" t="inlineStr">
        <is>
          <t>230-0119-85</t>
        </is>
      </c>
      <c r="F44" s="2" t="inlineStr">
        <is>
          <t>신한은행 '신한 알.쏠 적금'의 최고 우대금리는 연 0.65%p 이상인가?</t>
        </is>
      </c>
      <c r="G44" s="2" t="inlineStr">
        <is>
          <t>YES</t>
        </is>
      </c>
      <c r="H44" s="2" t="inlineStr">
        <is>
          <t>신한 알.쏠 적금 || 최고 연 1.30%</t>
        </is>
      </c>
      <c r="I44" s="2" t="inlineStr">
        <is>
          <t>원문 최고 우대금리 '최고 연 1.30%'(=1.3%p) 대비 제시 0.65%p</t>
        </is>
      </c>
      <c r="J44" s="2" t="inlineStr">
        <is>
          <t>KR-FinReg-QA v1 (202607 공시) → 202608 공시로 근거 재검증 후 이식</t>
        </is>
      </c>
    </row>
    <row r="45">
      <c r="A45" s="2" t="inlineStr">
        <is>
          <t>E0261</t>
        </is>
      </c>
      <c r="B45" s="2" t="inlineStr">
        <is>
          <t>Q5_비적용</t>
        </is>
      </c>
      <c r="C45" s="2" t="inlineStr">
        <is>
          <t>국민은행</t>
        </is>
      </c>
      <c r="D45" s="2" t="inlineStr">
        <is>
          <t>KB내맘대로적금</t>
        </is>
      </c>
      <c r="E45" s="2" t="inlineStr">
        <is>
          <t>010200100070</t>
        </is>
      </c>
      <c r="F45" s="2" t="inlineStr">
        <is>
          <t>국민은행 'KB내맘대로적금'의 최고 우대금리는 연 0.3%p 이상인가?</t>
        </is>
      </c>
      <c r="G45" s="2" t="inlineStr">
        <is>
          <t>YES</t>
        </is>
      </c>
      <c r="H45" s="2" t="inlineStr">
        <is>
          <t>KB내맘대로적금 || 최고 연0.6%p</t>
        </is>
      </c>
      <c r="I45" s="2" t="inlineStr">
        <is>
          <t>원문 최고 우대금리 '최고 연0.6%p'(=0.6%p) 대비 제시 0.3%p</t>
        </is>
      </c>
      <c r="J45" s="2" t="inlineStr">
        <is>
          <t>KR-FinReg-QA v1 (202607 공시) → 202608 공시로 근거 재검증 후 이식</t>
        </is>
      </c>
    </row>
    <row r="46">
      <c r="A46" s="2" t="inlineStr">
        <is>
          <t>E0262</t>
        </is>
      </c>
      <c r="B46" s="2" t="inlineStr">
        <is>
          <t>Q5_비적용</t>
        </is>
      </c>
      <c r="C46" s="2" t="inlineStr">
        <is>
          <t>신한은행</t>
        </is>
      </c>
      <c r="D46" s="2" t="inlineStr">
        <is>
          <t>신한My플러스 정기예금</t>
        </is>
      </c>
      <c r="E46" s="2" t="inlineStr">
        <is>
          <t>207-0134-16</t>
        </is>
      </c>
      <c r="F46" s="2" t="inlineStr">
        <is>
          <t>신한은행 '신한My플러스 정기예금'의 최고 우대금리는 연 0.1%p 이상인가?</t>
        </is>
      </c>
      <c r="G46" s="2" t="inlineStr">
        <is>
          <t>YES</t>
        </is>
      </c>
      <c r="H46" s="2" t="inlineStr">
        <is>
          <t>신한My플러스 정기예금 || 최고 연 0.2%</t>
        </is>
      </c>
      <c r="I46" s="2" t="inlineStr">
        <is>
          <t>원문 최고 우대금리 '최고 연 0.2%'(=0.2%p) 대비 제시 0.1%p</t>
        </is>
      </c>
      <c r="J46" s="2" t="inlineStr">
        <is>
          <t>KR-FinReg-QA v1 (202607 공시) → 202608 공시로 근거 재검증 후 이식</t>
        </is>
      </c>
    </row>
    <row r="47">
      <c r="A47" s="2" t="inlineStr">
        <is>
          <t>E0264</t>
        </is>
      </c>
      <c r="B47" s="2" t="inlineStr">
        <is>
          <t>Q5_비적용</t>
        </is>
      </c>
      <c r="C47" s="2" t="inlineStr">
        <is>
          <t>주식회사 카카오뱅크</t>
        </is>
      </c>
      <c r="D47" s="2" t="inlineStr">
        <is>
          <t>카카오뱅크 26주적금</t>
        </is>
      </c>
      <c r="E47" s="2" t="inlineStr">
        <is>
          <t>10-01-30-355-0005</t>
        </is>
      </c>
      <c r="F47" s="2" t="inlineStr">
        <is>
          <t>주식회사 카카오뱅크 '카카오뱅크 26주적금'의 최고 우대금리는 연 1.5%p 이상인가?</t>
        </is>
      </c>
      <c r="G47" s="2" t="inlineStr">
        <is>
          <t>YES</t>
        </is>
      </c>
      <c r="H47" s="2" t="inlineStr">
        <is>
          <t>카카오뱅크 26주적금 || 최고 연 3.00%p</t>
        </is>
      </c>
      <c r="I47" s="2" t="inlineStr">
        <is>
          <t>원문 최고 우대금리 '최고 연 3.00%p'(=3.0%p) 대비 제시 1.5%p</t>
        </is>
      </c>
      <c r="J47" s="2" t="inlineStr">
        <is>
          <t>KR-FinReg-QA v1 (202607 공시) → 202608 공시로 근거 재검증 후 이식</t>
        </is>
      </c>
    </row>
    <row r="48">
      <c r="A48" s="2" t="inlineStr">
        <is>
          <t>E0266</t>
        </is>
      </c>
      <c r="B48" s="2" t="inlineStr">
        <is>
          <t>Q5_비적용</t>
        </is>
      </c>
      <c r="C48" s="2" t="inlineStr">
        <is>
          <t>국민은행</t>
        </is>
      </c>
      <c r="D48" s="2" t="inlineStr">
        <is>
          <t>KB 특★한 적금</t>
        </is>
      </c>
      <c r="E48" s="2" t="inlineStr">
        <is>
          <t>010200100104</t>
        </is>
      </c>
      <c r="F48" s="2" t="inlineStr">
        <is>
          <t>국민은행 'KB 특★한 적금'의 최고 우대금리는 연 2.0%p 이상인가?</t>
        </is>
      </c>
      <c r="G48" s="2" t="inlineStr">
        <is>
          <t>YES</t>
        </is>
      </c>
      <c r="H48" s="2" t="inlineStr">
        <is>
          <t>KB 특★한 적금 || 최고 연 4.0%p</t>
        </is>
      </c>
      <c r="I48" s="2" t="inlineStr">
        <is>
          <t>원문 최고 우대금리 '최고 연 4.0%p'(=4.0%p) 대비 제시 2.0%p</t>
        </is>
      </c>
      <c r="J48" s="2" t="inlineStr">
        <is>
          <t>KR-FinReg-QA v1 (202607 공시) → 202608 공시로 근거 재검증 후 이식</t>
        </is>
      </c>
    </row>
    <row r="49">
      <c r="A49" s="2" t="inlineStr">
        <is>
          <t>E0268</t>
        </is>
      </c>
      <c r="B49" s="2" t="inlineStr">
        <is>
          <t>Q5_비적용</t>
        </is>
      </c>
      <c r="C49" s="2" t="inlineStr">
        <is>
          <t>아이엠뱅크</t>
        </is>
      </c>
      <c r="D49" s="2" t="inlineStr">
        <is>
          <t>iM스마트예금</t>
        </is>
      </c>
      <c r="E49" s="2" t="inlineStr">
        <is>
          <t>10511008001278000</t>
        </is>
      </c>
      <c r="F49" s="2" t="inlineStr">
        <is>
          <t>아이엠뱅크 'iM스마트예금'의 최고 우대금리는 연 0.5%p 이상인가?</t>
        </is>
      </c>
      <c r="G49" s="2" t="inlineStr">
        <is>
          <t>NO</t>
        </is>
      </c>
      <c r="H49" s="2" t="inlineStr">
        <is>
          <t>iM스마트예금 || 최고우대금리 : 연0.25%p</t>
        </is>
      </c>
      <c r="I49" s="2" t="inlineStr">
        <is>
          <t>원문 최고 우대금리 '최고우대금리 : 연0.25%p'(=0.25%p) 대비 제시 0.5%p</t>
        </is>
      </c>
      <c r="J49" s="2" t="inlineStr">
        <is>
          <t>KR-FinReg-QA v1 (202607 공시) → 202608 공시로 근거 재검증 후 이식</t>
        </is>
      </c>
    </row>
    <row r="50">
      <c r="A50" s="2" t="inlineStr">
        <is>
          <t>E0270</t>
        </is>
      </c>
      <c r="B50" s="2" t="inlineStr">
        <is>
          <t>Q5_비적용</t>
        </is>
      </c>
      <c r="C50" s="2" t="inlineStr">
        <is>
          <t>아이엠뱅크</t>
        </is>
      </c>
      <c r="D50" s="2" t="inlineStr">
        <is>
          <t>iM함께예금</t>
        </is>
      </c>
      <c r="E50" s="2" t="inlineStr">
        <is>
          <t>10511008001166004</t>
        </is>
      </c>
      <c r="F50" s="2" t="inlineStr">
        <is>
          <t>아이엠뱅크 'iM함께예금'의 최고 우대금리는 연 0.23%p 이상인가?</t>
        </is>
      </c>
      <c r="G50" s="2" t="inlineStr">
        <is>
          <t>YES</t>
        </is>
      </c>
      <c r="H50" s="2" t="inlineStr">
        <is>
          <t>iM함께예금 || 최고우대금리: 연0.45%p</t>
        </is>
      </c>
      <c r="I50" s="2" t="inlineStr">
        <is>
          <t>원문 최고 우대금리 '최고우대금리: 연0.45%p'(=0.45%p) 대비 제시 0.23%p</t>
        </is>
      </c>
      <c r="J50" s="2" t="inlineStr">
        <is>
          <t>KR-FinReg-QA v1 (202607 공시) → 202608 공시로 근거 재검증 후 이식</t>
        </is>
      </c>
    </row>
    <row r="51">
      <c r="A51" s="2" t="inlineStr">
        <is>
          <t>E0271</t>
        </is>
      </c>
      <c r="B51" s="2" t="inlineStr">
        <is>
          <t>Q5_비적용</t>
        </is>
      </c>
      <c r="C51" s="2" t="inlineStr">
        <is>
          <t>중소기업은행</t>
        </is>
      </c>
      <c r="D51" s="2" t="inlineStr">
        <is>
          <t>IBK D-day적금(자유적립식)</t>
        </is>
      </c>
      <c r="E51" s="2" t="inlineStr">
        <is>
          <t>01211210113</t>
        </is>
      </c>
      <c r="F51" s="2" t="inlineStr">
        <is>
          <t>중소기업은행 'IBK D-day적금(자유적립식)'의 최고 우대금리는 연 0.75%p 이상인가?</t>
        </is>
      </c>
      <c r="G51" s="2" t="inlineStr">
        <is>
          <t>YES</t>
        </is>
      </c>
      <c r="H51" s="2" t="inlineStr">
        <is>
          <t>IBK D-day적금(자유적립식) || 최고 연 1.5%p</t>
        </is>
      </c>
      <c r="I51" s="2" t="inlineStr">
        <is>
          <t>원문 최고 우대금리 '최고 연 1.5%p'(=1.5%p) 대비 제시 0.75%p</t>
        </is>
      </c>
      <c r="J51" s="2" t="inlineStr">
        <is>
          <t>KR-FinReg-QA v1 (202607 공시) → 202608 공시로 근거 재검증 후 이식</t>
        </is>
      </c>
    </row>
    <row r="52">
      <c r="A52" s="2" t="inlineStr">
        <is>
          <t>E0272</t>
        </is>
      </c>
      <c r="B52" s="2" t="inlineStr">
        <is>
          <t>Q5_비적용</t>
        </is>
      </c>
      <c r="C52" s="2" t="inlineStr">
        <is>
          <t>주식회사 하나은행</t>
        </is>
      </c>
      <c r="D52" s="2" t="inlineStr">
        <is>
          <t>주거래하나 월복리적금</t>
        </is>
      </c>
      <c r="E52" s="2" t="inlineStr">
        <is>
          <t>52</t>
        </is>
      </c>
      <c r="F52" s="2" t="inlineStr">
        <is>
          <t>주식회사 하나은행 '주거래하나 월복리적금'의 최고 우대금리는 연 0.5%p 이상인가?</t>
        </is>
      </c>
      <c r="G52" s="2" t="inlineStr">
        <is>
          <t>YES</t>
        </is>
      </c>
      <c r="H52" s="2" t="inlineStr">
        <is>
          <t>주거래하나 월복리적금 || 최고 연1.0%</t>
        </is>
      </c>
      <c r="I52" s="2" t="inlineStr">
        <is>
          <t>원문 최고 우대금리 '최고 연1.0%'(=1.0%p) 대비 제시 0.5%p</t>
        </is>
      </c>
      <c r="J52" s="2" t="inlineStr">
        <is>
          <t>KR-FinReg-QA v1 (202607 공시) → 202608 공시로 근거 재검증 후 이식</t>
        </is>
      </c>
    </row>
    <row r="53">
      <c r="A53" s="2" t="inlineStr">
        <is>
          <t>E0273</t>
        </is>
      </c>
      <c r="B53" s="2" t="inlineStr">
        <is>
          <t>Q5_비적용</t>
        </is>
      </c>
      <c r="C53" s="2" t="inlineStr">
        <is>
          <t>중소기업은행</t>
        </is>
      </c>
      <c r="D53" s="2" t="inlineStr">
        <is>
          <t>IBK중기근로자우대적금 (자유적립식)</t>
        </is>
      </c>
      <c r="E53" s="2" t="inlineStr">
        <is>
          <t>01211210122</t>
        </is>
      </c>
      <c r="F53" s="2" t="inlineStr">
        <is>
          <t>중소기업은행 'IBK중기근로자우대적금 (자유적립식)'의 최고 우대금리는 연 4.4%p 이상인가?</t>
        </is>
      </c>
      <c r="G53" s="2" t="inlineStr">
        <is>
          <t>NO</t>
        </is>
      </c>
      <c r="H53" s="2" t="inlineStr">
        <is>
          <t>IBK중기근로자우대적금 (자유적립식) || 최고 연 2.20%p</t>
        </is>
      </c>
      <c r="I53" s="2" t="inlineStr">
        <is>
          <t>원문 최고 우대금리 '최고 연 2.20%p'(=2.2%p) 대비 제시 4.4%p</t>
        </is>
      </c>
      <c r="J53" s="2" t="inlineStr">
        <is>
          <t>KR-FinReg-QA v1 (202607 공시) → 202608 공시로 근거 재검증 후 이식</t>
        </is>
      </c>
    </row>
    <row r="54">
      <c r="A54" s="2" t="inlineStr">
        <is>
          <t>E0275</t>
        </is>
      </c>
      <c r="B54" s="2" t="inlineStr">
        <is>
          <t>Q5_비적용</t>
        </is>
      </c>
      <c r="C54" s="2" t="inlineStr">
        <is>
          <t>중소기업은행</t>
        </is>
      </c>
      <c r="D54" s="2" t="inlineStr">
        <is>
          <t>IBK모으기통장(자유적립식)</t>
        </is>
      </c>
      <c r="E54" s="2" t="inlineStr">
        <is>
          <t>01211210129</t>
        </is>
      </c>
      <c r="F54" s="2" t="inlineStr">
        <is>
          <t>중소기업은행 'IBK모으기통장(자유적립식)'의 최고 우대금리는 연 0.1%p 이상인가?</t>
        </is>
      </c>
      <c r="G54" s="2" t="inlineStr">
        <is>
          <t>YES</t>
        </is>
      </c>
      <c r="H54" s="2" t="inlineStr">
        <is>
          <t>IBK모으기통장(자유적립식) || 최고 연 0.20%p</t>
        </is>
      </c>
      <c r="I54" s="2" t="inlineStr">
        <is>
          <t>원문 최고 우대금리 '최고 연 0.20%p'(=0.2%p) 대비 제시 0.1%p</t>
        </is>
      </c>
      <c r="J54" s="2" t="inlineStr">
        <is>
          <t>KR-FinReg-QA v1 (202607 공시) → 202608 공시로 근거 재검증 후 이식</t>
        </is>
      </c>
    </row>
    <row r="55">
      <c r="A55" s="2" t="inlineStr">
        <is>
          <t>E0276</t>
        </is>
      </c>
      <c r="B55" s="2" t="inlineStr">
        <is>
          <t>Q5_비적용</t>
        </is>
      </c>
      <c r="C55" s="2" t="inlineStr">
        <is>
          <t>제주은행</t>
        </is>
      </c>
      <c r="D55" s="2" t="inlineStr">
        <is>
          <t>제주Dream 정기예금 (개인/만기 지급식)</t>
        </is>
      </c>
      <c r="E55" s="2" t="inlineStr">
        <is>
          <t>101272000006</t>
        </is>
      </c>
      <c r="F55" s="2" t="inlineStr">
        <is>
          <t>제주은행 '제주Dream 정기예금 (개인/만기 지급식)'의 최고 우대금리는 연 0.05%p 이상인가?</t>
        </is>
      </c>
      <c r="G55" s="2" t="inlineStr">
        <is>
          <t>YES</t>
        </is>
      </c>
      <c r="H55" s="2" t="inlineStr">
        <is>
          <t>제주Dream 정기예금 (개인/만기 지급식) || 최고 연 0.1%p</t>
        </is>
      </c>
      <c r="I55" s="2" t="inlineStr">
        <is>
          <t>원문 최고 우대금리 '최고 연 0.1%p'(=0.1%p) 대비 제시 0.05%p</t>
        </is>
      </c>
      <c r="J55" s="2" t="inlineStr">
        <is>
          <t>KR-FinReg-QA v1 (202607 공시) → 202608 공시로 근거 재검증 후 이식</t>
        </is>
      </c>
    </row>
    <row r="56">
      <c r="A56" s="2" t="inlineStr">
        <is>
          <t>E0279</t>
        </is>
      </c>
      <c r="B56" s="2" t="inlineStr">
        <is>
          <t>Q5_비적용</t>
        </is>
      </c>
      <c r="C56" s="2" t="inlineStr">
        <is>
          <t>광주은행</t>
        </is>
      </c>
      <c r="D56" s="2" t="inlineStr">
        <is>
          <t>미즈월복리정기예금</t>
        </is>
      </c>
      <c r="E56" s="2" t="inlineStr">
        <is>
          <t>TD11300027000</t>
        </is>
      </c>
      <c r="F56" s="2" t="inlineStr">
        <is>
          <t>광주은행 '미즈월복리정기예금'의 최고 우대금리는 연 0.4%p 이상인가?</t>
        </is>
      </c>
      <c r="G56" s="2" t="inlineStr">
        <is>
          <t>NO</t>
        </is>
      </c>
      <c r="H56" s="2" t="inlineStr">
        <is>
          <t>미즈월복리정기예금 || 최고우대금리 0.2%</t>
        </is>
      </c>
      <c r="I56" s="2" t="inlineStr">
        <is>
          <t>원문 최고 우대금리 '최고우대금리 0.2%'(=0.2%p) 대비 제시 0.4%p</t>
        </is>
      </c>
      <c r="J56" s="2" t="inlineStr">
        <is>
          <t>KR-FinReg-QA v1 (202607 공시) → 202608 공시로 근거 재검증 후 이식</t>
        </is>
      </c>
    </row>
    <row r="57">
      <c r="A57" s="2" t="inlineStr">
        <is>
          <t>E0281</t>
        </is>
      </c>
      <c r="B57" s="2" t="inlineStr">
        <is>
          <t>Q5_비적용</t>
        </is>
      </c>
      <c r="C57" s="2" t="inlineStr">
        <is>
          <t>제주은행</t>
        </is>
      </c>
      <c r="D57" s="2" t="inlineStr">
        <is>
          <t>스마일드림 정기예금 (개인/선이자 지급식)</t>
        </is>
      </c>
      <c r="E57" s="2" t="inlineStr">
        <is>
          <t>101272000058</t>
        </is>
      </c>
      <c r="F57" s="2" t="inlineStr">
        <is>
          <t>제주은행 '스마일드림 정기예금 (개인/선이자 지급식)'의 최고 우대금리는 연 0.15%p 이상인가?</t>
        </is>
      </c>
      <c r="G57" s="2" t="inlineStr">
        <is>
          <t>YES</t>
        </is>
      </c>
      <c r="H57" s="2" t="inlineStr">
        <is>
          <t>스마일드림 정기예금 (개인/선이자 지급식) || 최고0.3%</t>
        </is>
      </c>
      <c r="I57" s="2" t="inlineStr">
        <is>
          <t>원문 최고 우대금리 '최고0.3%'(=0.3%p) 대비 제시 0.15%p</t>
        </is>
      </c>
      <c r="J57" s="2" t="inlineStr">
        <is>
          <t>KR-FinReg-QA v1 (202607 공시) → 202608 공시로 근거 재검증 후 이식</t>
        </is>
      </c>
    </row>
    <row r="58">
      <c r="A58" s="2" t="inlineStr">
        <is>
          <t>E0282</t>
        </is>
      </c>
      <c r="B58" s="2" t="inlineStr">
        <is>
          <t>Q5_비적용</t>
        </is>
      </c>
      <c r="C58" s="2" t="inlineStr">
        <is>
          <t>광주은행</t>
        </is>
      </c>
      <c r="D58" s="2" t="inlineStr">
        <is>
          <t>해피라이프_여행스케치적금V</t>
        </is>
      </c>
      <c r="E58" s="2" t="inlineStr">
        <is>
          <t>TD11330029000</t>
        </is>
      </c>
      <c r="F58" s="2" t="inlineStr">
        <is>
          <t>광주은행 '해피라이프_여행스케치적금V'의 최고 우대금리는 연 0.6%p 이상인가?</t>
        </is>
      </c>
      <c r="G58" s="2" t="inlineStr">
        <is>
          <t>YES</t>
        </is>
      </c>
      <c r="H58" s="2" t="inlineStr">
        <is>
          <t>해피라이프_여행스케치적금V || 최고우대금리 1.20%p</t>
        </is>
      </c>
      <c r="I58" s="2" t="inlineStr">
        <is>
          <t>원문 최고 우대금리 '최고우대금리 1.20%p'(=1.2%p) 대비 제시 0.6%p</t>
        </is>
      </c>
      <c r="J58" s="2" t="inlineStr">
        <is>
          <t>KR-FinReg-QA v1 (202607 공시) → 202608 공시로 근거 재검증 후 이식</t>
        </is>
      </c>
    </row>
    <row r="59">
      <c r="A59" s="2" t="inlineStr">
        <is>
          <t>E0283</t>
        </is>
      </c>
      <c r="B59" s="2" t="inlineStr">
        <is>
          <t>Q5_비적용</t>
        </is>
      </c>
      <c r="C59" s="2" t="inlineStr">
        <is>
          <t>제주은행</t>
        </is>
      </c>
      <c r="D59" s="2" t="inlineStr">
        <is>
          <t>J정기예금 (만기지급식)</t>
        </is>
      </c>
      <c r="E59" s="2" t="inlineStr">
        <is>
          <t>101272000057</t>
        </is>
      </c>
      <c r="F59" s="2" t="inlineStr">
        <is>
          <t>제주은행 'J정기예금 (만기지급식)'의 최고 우대금리는 연 1.0%p 이상인가?</t>
        </is>
      </c>
      <c r="G59" s="2" t="inlineStr">
        <is>
          <t>NO</t>
        </is>
      </c>
      <c r="H59" s="2" t="inlineStr">
        <is>
          <t>J정기예금 (만기지급식) || 최고 0.5%p</t>
        </is>
      </c>
      <c r="I59" s="2" t="inlineStr">
        <is>
          <t>원문 최고 우대금리 '최고 0.5%p'(=0.5%p) 대비 제시 1.0%p</t>
        </is>
      </c>
      <c r="J59" s="2" t="inlineStr">
        <is>
          <t>KR-FinReg-QA v1 (202607 공시) → 202608 공시로 근거 재검증 후 이식</t>
        </is>
      </c>
    </row>
    <row r="60">
      <c r="A60" s="2" t="inlineStr">
        <is>
          <t>E0284</t>
        </is>
      </c>
      <c r="B60" s="2" t="inlineStr">
        <is>
          <t>Q5_비적용</t>
        </is>
      </c>
      <c r="C60" s="2" t="inlineStr">
        <is>
          <t>중소기업은행</t>
        </is>
      </c>
      <c r="D60" s="2" t="inlineStr">
        <is>
          <t>IBK평생한가족통장(실세금리정기예금)</t>
        </is>
      </c>
      <c r="E60" s="2" t="inlineStr">
        <is>
          <t>01211310121</t>
        </is>
      </c>
      <c r="F60" s="2" t="inlineStr">
        <is>
          <t>중소기업은행 'IBK평생한가족통장(실세금리정기예금)'의 최고 우대금리는 연 0.1%p 이상인가?</t>
        </is>
      </c>
      <c r="G60" s="2" t="inlineStr">
        <is>
          <t>YES</t>
        </is>
      </c>
      <c r="H60" s="2" t="inlineStr">
        <is>
          <t>IBK평생한가족통장(실세금리정기예금) || 최고 연 0.20%p</t>
        </is>
      </c>
      <c r="I60" s="2" t="inlineStr">
        <is>
          <t>원문 최고 우대금리 '최고 연 0.20%p'(=0.2%p) 대비 제시 0.1%p</t>
        </is>
      </c>
      <c r="J60" s="2" t="inlineStr">
        <is>
          <t>KR-FinReg-QA v1 (202607 공시) → 202608 공시로 근거 재검증 후 이식</t>
        </is>
      </c>
    </row>
    <row r="61">
      <c r="A61" s="2" t="inlineStr">
        <is>
          <t>E0285</t>
        </is>
      </c>
      <c r="B61" s="2" t="inlineStr">
        <is>
          <t>Q5_비적용</t>
        </is>
      </c>
      <c r="C61" s="2" t="inlineStr">
        <is>
          <t>주식회사 케이뱅크</t>
        </is>
      </c>
      <c r="D61" s="2" t="inlineStr">
        <is>
          <t>주거래우대 자유적금</t>
        </is>
      </c>
      <c r="E61" s="2" t="inlineStr">
        <is>
          <t>01012000210000000000</t>
        </is>
      </c>
      <c r="F61" s="2" t="inlineStr">
        <is>
          <t>주식회사 케이뱅크 '주거래우대 자유적금'의 최고 우대금리는 연 0.3%p 이상인가?</t>
        </is>
      </c>
      <c r="G61" s="2" t="inlineStr">
        <is>
          <t>YES</t>
        </is>
      </c>
      <c r="H61" s="2" t="inlineStr">
        <is>
          <t>주거래우대 자유적금 || 최고 연 0.6%</t>
        </is>
      </c>
      <c r="I61" s="2" t="inlineStr">
        <is>
          <t>원문 최고 우대금리 '최고 연 0.6%'(=0.6%p) 대비 제시 0.3%p</t>
        </is>
      </c>
      <c r="J61" s="2" t="inlineStr">
        <is>
          <t>KR-FinReg-QA v1 (202607 공시) → 202608 공시로 근거 재검증 후 이식</t>
        </is>
      </c>
    </row>
    <row r="62">
      <c r="A62" s="2" t="inlineStr">
        <is>
          <t>E0286</t>
        </is>
      </c>
      <c r="B62" s="2" t="inlineStr">
        <is>
          <t>Q5_비적용</t>
        </is>
      </c>
      <c r="C62" s="2" t="inlineStr">
        <is>
          <t>아이엠뱅크</t>
        </is>
      </c>
      <c r="D62" s="2" t="inlineStr">
        <is>
          <t>iM스마트예금</t>
        </is>
      </c>
      <c r="E62" s="2" t="inlineStr">
        <is>
          <t>10511008001278000</t>
        </is>
      </c>
      <c r="F62" s="2" t="inlineStr">
        <is>
          <t>아이엠뱅크 'iM스마트예금'의 최고 우대금리는 연 0.12%p 이상인가?</t>
        </is>
      </c>
      <c r="G62" s="2" t="inlineStr">
        <is>
          <t>YES</t>
        </is>
      </c>
      <c r="H62" s="2" t="inlineStr">
        <is>
          <t>iM스마트예금 || 최고우대금리 : 연0.25%p</t>
        </is>
      </c>
      <c r="I62" s="2" t="inlineStr">
        <is>
          <t>원문 최고 우대금리 '최고우대금리 : 연0.25%p'(=0.25%p) 대비 제시 0.12%p</t>
        </is>
      </c>
      <c r="J62" s="2" t="inlineStr">
        <is>
          <t>KR-FinReg-QA v1 (202607 공시) → 202608 공시로 근거 재검증 후 이식</t>
        </is>
      </c>
    </row>
    <row r="63">
      <c r="A63" s="2" t="inlineStr">
        <is>
          <t>E0288</t>
        </is>
      </c>
      <c r="B63" s="2" t="inlineStr">
        <is>
          <t>Q5_비적용</t>
        </is>
      </c>
      <c r="C63" s="2" t="inlineStr">
        <is>
          <t>중소기업은행</t>
        </is>
      </c>
      <c r="D63" s="2" t="inlineStr">
        <is>
          <t>IBK중기근로자우대적금 (자유적립식)</t>
        </is>
      </c>
      <c r="E63" s="2" t="inlineStr">
        <is>
          <t>01211210122</t>
        </is>
      </c>
      <c r="F63" s="2" t="inlineStr">
        <is>
          <t>중소기업은행 'IBK중기근로자우대적금 (자유적립식)'의 최고 우대금리는 연 1.1%p 이상인가?</t>
        </is>
      </c>
      <c r="G63" s="2" t="inlineStr">
        <is>
          <t>YES</t>
        </is>
      </c>
      <c r="H63" s="2" t="inlineStr">
        <is>
          <t>IBK중기근로자우대적금 (자유적립식) || 최고 연 2.20%p</t>
        </is>
      </c>
      <c r="I63" s="2" t="inlineStr">
        <is>
          <t>원문 최고 우대금리 '최고 연 2.20%p'(=2.2%p) 대비 제시 1.1%p</t>
        </is>
      </c>
      <c r="J63" s="2" t="inlineStr">
        <is>
          <t>KR-FinReg-QA v1 (202607 공시) → 202608 공시로 근거 재검증 후 이식</t>
        </is>
      </c>
    </row>
    <row r="64">
      <c r="A64" s="2" t="inlineStr">
        <is>
          <t>E0289</t>
        </is>
      </c>
      <c r="B64" s="2" t="inlineStr">
        <is>
          <t>Q5_비적용</t>
        </is>
      </c>
      <c r="C64" s="2" t="inlineStr">
        <is>
          <t>제주은행</t>
        </is>
      </c>
      <c r="D64" s="2" t="inlineStr">
        <is>
          <t>jbank 저금통적금</t>
        </is>
      </c>
      <c r="E64" s="2" t="inlineStr">
        <is>
          <t>220002101</t>
        </is>
      </c>
      <c r="F64" s="2" t="inlineStr">
        <is>
          <t>제주은행 'jbank 저금통적금'의 최고 우대금리는 연 1.05%p 이상인가?</t>
        </is>
      </c>
      <c r="G64" s="2" t="inlineStr">
        <is>
          <t>YES</t>
        </is>
      </c>
      <c r="H64" s="2" t="inlineStr">
        <is>
          <t>jbank 저금통적금 || 최고 2.1%p</t>
        </is>
      </c>
      <c r="I64" s="2" t="inlineStr">
        <is>
          <t>원문 최고 우대금리 '최고 2.1%p'(=2.1%p) 대비 제시 1.05%p</t>
        </is>
      </c>
      <c r="J64" s="2" t="inlineStr">
        <is>
          <t>KR-FinReg-QA v1 (202607 공시) → 202608 공시로 근거 재검증 후 이식</t>
        </is>
      </c>
    </row>
    <row r="65">
      <c r="A65" s="2" t="inlineStr">
        <is>
          <t>E0290</t>
        </is>
      </c>
      <c r="B65" s="2" t="inlineStr">
        <is>
          <t>Q5_비적용</t>
        </is>
      </c>
      <c r="C65" s="2" t="inlineStr">
        <is>
          <t>광주은행</t>
        </is>
      </c>
      <c r="D65" s="2" t="inlineStr">
        <is>
          <t>굿스타트예금</t>
        </is>
      </c>
      <c r="E65" s="2" t="inlineStr">
        <is>
          <t>TD11300035000</t>
        </is>
      </c>
      <c r="F65" s="2" t="inlineStr">
        <is>
          <t>광주은행 '굿스타트예금'의 최고 우대금리는 연 1.0%p 이상인가?</t>
        </is>
      </c>
      <c r="G65" s="2" t="inlineStr">
        <is>
          <t>NO</t>
        </is>
      </c>
      <c r="H65" s="2" t="inlineStr">
        <is>
          <t>굿스타트예금 || 최고우대금리 0.5%</t>
        </is>
      </c>
      <c r="I65" s="2" t="inlineStr">
        <is>
          <t>원문 최고 우대금리 '최고우대금리 0.5%'(=0.5%p) 대비 제시 1.0%p</t>
        </is>
      </c>
      <c r="J65" s="2" t="inlineStr">
        <is>
          <t>KR-FinReg-QA v1 (202607 공시) → 202608 공시로 근거 재검증 후 이식</t>
        </is>
      </c>
    </row>
    <row r="66">
      <c r="A66" s="2" t="inlineStr">
        <is>
          <t>E0291</t>
        </is>
      </c>
      <c r="B66" s="2" t="inlineStr">
        <is>
          <t>Q5_비적용</t>
        </is>
      </c>
      <c r="C66" s="2" t="inlineStr">
        <is>
          <t>국민은행</t>
        </is>
      </c>
      <c r="D66" s="2" t="inlineStr">
        <is>
          <t>KB맑은하늘적금</t>
        </is>
      </c>
      <c r="E66" s="2" t="inlineStr">
        <is>
          <t>010200100084</t>
        </is>
      </c>
      <c r="F66" s="2" t="inlineStr">
        <is>
          <t>국민은행 'KB맑은하늘적금'의 최고 우대금리는 연 1.6%p 이상인가?</t>
        </is>
      </c>
      <c r="G66" s="2" t="inlineStr">
        <is>
          <t>NO</t>
        </is>
      </c>
      <c r="H66" s="2" t="inlineStr">
        <is>
          <t>KB맑은하늘적금 || 최고 연 0.8%p</t>
        </is>
      </c>
      <c r="I66" s="2" t="inlineStr">
        <is>
          <t>원문 최고 우대금리 '최고 연 0.8%p'(=0.8%p) 대비 제시 1.6%p</t>
        </is>
      </c>
      <c r="J66" s="2" t="inlineStr">
        <is>
          <t>KR-FinReg-QA v1 (202607 공시) → 202608 공시로 근거 재검증 후 이식</t>
        </is>
      </c>
    </row>
    <row r="67">
      <c r="A67" s="2" t="inlineStr">
        <is>
          <t>E0293</t>
        </is>
      </c>
      <c r="B67" s="2" t="inlineStr">
        <is>
          <t>Q5_비적용</t>
        </is>
      </c>
      <c r="C67" s="2" t="inlineStr">
        <is>
          <t>중소기업은행</t>
        </is>
      </c>
      <c r="D67" s="2" t="inlineStr">
        <is>
          <t>IBK D-day적금(자유적립식)</t>
        </is>
      </c>
      <c r="E67" s="2" t="inlineStr">
        <is>
          <t>01211210113</t>
        </is>
      </c>
      <c r="F67" s="2" t="inlineStr">
        <is>
          <t>중소기업은행 'IBK D-day적금(자유적립식)'의 최고 우대금리는 연 3.0%p 이상인가?</t>
        </is>
      </c>
      <c r="G67" s="2" t="inlineStr">
        <is>
          <t>NO</t>
        </is>
      </c>
      <c r="H67" s="2" t="inlineStr">
        <is>
          <t>IBK D-day적금(자유적립식) || 최고 연 1.5%p</t>
        </is>
      </c>
      <c r="I67" s="2" t="inlineStr">
        <is>
          <t>원문 최고 우대금리 '최고 연 1.5%p'(=1.5%p) 대비 제시 3.0%p</t>
        </is>
      </c>
      <c r="J67" s="2" t="inlineStr">
        <is>
          <t>KR-FinReg-QA v1 (202607 공시) → 202608 공시로 근거 재검증 후 이식</t>
        </is>
      </c>
    </row>
    <row r="68">
      <c r="A68" s="2" t="inlineStr">
        <is>
          <t>E0294</t>
        </is>
      </c>
      <c r="B68" s="2" t="inlineStr">
        <is>
          <t>Q5_비적용</t>
        </is>
      </c>
      <c r="C68" s="2" t="inlineStr">
        <is>
          <t>제주은행</t>
        </is>
      </c>
      <c r="D68" s="2" t="inlineStr">
        <is>
          <t>J정기예금 (만기지급식)</t>
        </is>
      </c>
      <c r="E68" s="2" t="inlineStr">
        <is>
          <t>101272000057</t>
        </is>
      </c>
      <c r="F68" s="2" t="inlineStr">
        <is>
          <t>제주은행 'J정기예금 (만기지급식)'의 최고 우대금리는 연 0.25%p 이상인가?</t>
        </is>
      </c>
      <c r="G68" s="2" t="inlineStr">
        <is>
          <t>YES</t>
        </is>
      </c>
      <c r="H68" s="2" t="inlineStr">
        <is>
          <t>J정기예금 (만기지급식) || 최고 0.5%p</t>
        </is>
      </c>
      <c r="I68" s="2" t="inlineStr">
        <is>
          <t>원문 최고 우대금리 '최고 0.5%p'(=0.5%p) 대비 제시 0.25%p</t>
        </is>
      </c>
      <c r="J68" s="2" t="inlineStr">
        <is>
          <t>KR-FinReg-QA v1 (202607 공시) → 202608 공시로 근거 재검증 후 이식</t>
        </is>
      </c>
    </row>
    <row r="69">
      <c r="A69" s="2" t="inlineStr">
        <is>
          <t>E0295</t>
        </is>
      </c>
      <c r="B69" s="2" t="inlineStr">
        <is>
          <t>Q5_비적용</t>
        </is>
      </c>
      <c r="C69" s="2" t="inlineStr">
        <is>
          <t>제주은행</t>
        </is>
      </c>
      <c r="D69" s="2" t="inlineStr">
        <is>
          <t>사이버우대매일부금</t>
        </is>
      </c>
      <c r="E69" s="2" t="inlineStr">
        <is>
          <t>220002701</t>
        </is>
      </c>
      <c r="F69" s="2" t="inlineStr">
        <is>
          <t>제주은행 '사이버우대매일부금'의 최고 우대금리는 연 0.8%p 이상인가?</t>
        </is>
      </c>
      <c r="G69" s="2" t="inlineStr">
        <is>
          <t>NO</t>
        </is>
      </c>
      <c r="H69" s="2" t="inlineStr">
        <is>
          <t>사이버우대매일부금 || 최고 0.4%p</t>
        </is>
      </c>
      <c r="I69" s="2" t="inlineStr">
        <is>
          <t>원문 최고 우대금리 '최고 0.4%p'(=0.4%p) 대비 제시 0.8%p</t>
        </is>
      </c>
      <c r="J69" s="2" t="inlineStr">
        <is>
          <t>KR-FinReg-QA v1 (202607 공시) → 202608 공시로 근거 재검증 후 이식</t>
        </is>
      </c>
    </row>
    <row r="70">
      <c r="A70" s="2" t="inlineStr">
        <is>
          <t>E0296</t>
        </is>
      </c>
      <c r="B70" s="2" t="inlineStr">
        <is>
          <t>Q5_비적용</t>
        </is>
      </c>
      <c r="C70" s="2" t="inlineStr">
        <is>
          <t>광주은행</t>
        </is>
      </c>
      <c r="D70" s="2" t="inlineStr">
        <is>
          <t>여행스케치_남도투어적금</t>
        </is>
      </c>
      <c r="E70" s="2" t="inlineStr">
        <is>
          <t>TD11330030000</t>
        </is>
      </c>
      <c r="F70" s="2" t="inlineStr">
        <is>
          <t>광주은행 '여행스케치_남도투어적금'의 최고 우대금리는 연 0.95%p 이상인가?</t>
        </is>
      </c>
      <c r="G70" s="2" t="inlineStr">
        <is>
          <t>YES</t>
        </is>
      </c>
      <c r="H70" s="2" t="inlineStr">
        <is>
          <t>여행스케치_남도투어적금 || 최고우대금리 1.9%p</t>
        </is>
      </c>
      <c r="I70" s="2" t="inlineStr">
        <is>
          <t>원문 최고 우대금리 '최고우대금리 1.9%p'(=1.9%p) 대비 제시 0.95%p</t>
        </is>
      </c>
      <c r="J70" s="2" t="inlineStr">
        <is>
          <t>KR-FinReg-QA v1 (202607 공시) → 202608 공시로 근거 재검증 후 이식</t>
        </is>
      </c>
    </row>
    <row r="71">
      <c r="A71" s="2" t="inlineStr">
        <is>
          <t>E0297</t>
        </is>
      </c>
      <c r="B71" s="2" t="inlineStr">
        <is>
          <t>Q5_비적용</t>
        </is>
      </c>
      <c r="C71" s="2" t="inlineStr">
        <is>
          <t>광주은행</t>
        </is>
      </c>
      <c r="D71" s="2" t="inlineStr">
        <is>
          <t>VIP플러스적금</t>
        </is>
      </c>
      <c r="E71" s="2" t="inlineStr">
        <is>
          <t>TD11330031000</t>
        </is>
      </c>
      <c r="F71" s="2" t="inlineStr">
        <is>
          <t>광주은행 'VIP플러스적금'의 최고 우대금리는 연 0.25%p 이상인가?</t>
        </is>
      </c>
      <c r="G71" s="2" t="inlineStr">
        <is>
          <t>YES</t>
        </is>
      </c>
      <c r="H71" s="2" t="inlineStr">
        <is>
          <t>VIP플러스적금 || 최고우대금리 0.50%p</t>
        </is>
      </c>
      <c r="I71" s="2" t="inlineStr">
        <is>
          <t>원문 최고 우대금리 '최고우대금리 0.50%p'(=0.5%p) 대비 제시 0.25%p</t>
        </is>
      </c>
      <c r="J71" s="2" t="inlineStr">
        <is>
          <t>KR-FinReg-QA v1 (202607 공시) → 202608 공시로 근거 재검증 후 이식</t>
        </is>
      </c>
    </row>
    <row r="72">
      <c r="A72" s="2" t="inlineStr">
        <is>
          <t>E0298</t>
        </is>
      </c>
      <c r="B72" s="2" t="inlineStr">
        <is>
          <t>Q5_비적용</t>
        </is>
      </c>
      <c r="C72" s="2" t="inlineStr">
        <is>
          <t>주식회사 카카오뱅크</t>
        </is>
      </c>
      <c r="D72" s="2" t="inlineStr">
        <is>
          <t>카카오뱅크 26주적금</t>
        </is>
      </c>
      <c r="E72" s="2" t="inlineStr">
        <is>
          <t>10-01-30-355-0005</t>
        </is>
      </c>
      <c r="F72" s="2" t="inlineStr">
        <is>
          <t>주식회사 카카오뱅크 '카카오뱅크 26주적금'의 최고 우대금리는 연 6.0%p 이상인가?</t>
        </is>
      </c>
      <c r="G72" s="2" t="inlineStr">
        <is>
          <t>NO</t>
        </is>
      </c>
      <c r="H72" s="2" t="inlineStr">
        <is>
          <t>카카오뱅크 26주적금 || 최고 연 3.00%p</t>
        </is>
      </c>
      <c r="I72" s="2" t="inlineStr">
        <is>
          <t>원문 최고 우대금리 '최고 연 3.00%p'(=3.0%p) 대비 제시 6.0%p</t>
        </is>
      </c>
      <c r="J72" s="2" t="inlineStr">
        <is>
          <t>KR-FinReg-QA v1 (202607 공시) → 202608 공시로 근거 재검증 후 이식</t>
        </is>
      </c>
    </row>
    <row r="73">
      <c r="A73" s="2" t="inlineStr">
        <is>
          <t>E0299</t>
        </is>
      </c>
      <c r="B73" s="2" t="inlineStr">
        <is>
          <t>Q5_비적용</t>
        </is>
      </c>
      <c r="C73" s="2" t="inlineStr">
        <is>
          <t>제주은행</t>
        </is>
      </c>
      <c r="D73" s="2" t="inlineStr">
        <is>
          <t>jbank 저금통적금</t>
        </is>
      </c>
      <c r="E73" s="2" t="inlineStr">
        <is>
          <t>220002101</t>
        </is>
      </c>
      <c r="F73" s="2" t="inlineStr">
        <is>
          <t>제주은행 'jbank 저금통적금'의 최고 우대금리는 연 4.2%p 이상인가?</t>
        </is>
      </c>
      <c r="G73" s="2" t="inlineStr">
        <is>
          <t>NO</t>
        </is>
      </c>
      <c r="H73" s="2" t="inlineStr">
        <is>
          <t>jbank 저금통적금 || 최고 2.1%p</t>
        </is>
      </c>
      <c r="I73" s="2" t="inlineStr">
        <is>
          <t>원문 최고 우대금리 '최고 2.1%p'(=2.1%p) 대비 제시 4.2%p</t>
        </is>
      </c>
      <c r="J73" s="2" t="inlineStr">
        <is>
          <t>KR-FinReg-QA v1 (202607 공시) → 202608 공시로 근거 재검증 후 이식</t>
        </is>
      </c>
    </row>
    <row r="74">
      <c r="A74" s="2" t="inlineStr">
        <is>
          <t>E0300</t>
        </is>
      </c>
      <c r="B74" s="2" t="inlineStr">
        <is>
          <t>Q5_비적용</t>
        </is>
      </c>
      <c r="C74" s="2" t="inlineStr">
        <is>
          <t>광주은행</t>
        </is>
      </c>
      <c r="D74" s="2" t="inlineStr">
        <is>
          <t>굿스타트예금</t>
        </is>
      </c>
      <c r="E74" s="2" t="inlineStr">
        <is>
          <t>TD11300035000</t>
        </is>
      </c>
      <c r="F74" s="2" t="inlineStr">
        <is>
          <t>광주은행 '굿스타트예금'의 최고 우대금리는 연 0.25%p 이상인가?</t>
        </is>
      </c>
      <c r="G74" s="2" t="inlineStr">
        <is>
          <t>YES</t>
        </is>
      </c>
      <c r="H74" s="2" t="inlineStr">
        <is>
          <t>굿스타트예금 || 최고우대금리 0.5%</t>
        </is>
      </c>
      <c r="I74" s="2" t="inlineStr">
        <is>
          <t>원문 최고 우대금리 '최고우대금리 0.5%'(=0.5%p) 대비 제시 0.25%p</t>
        </is>
      </c>
      <c r="J74" s="2" t="inlineStr">
        <is>
          <t>KR-FinReg-QA v1 (202607 공시) → 202608 공시로 근거 재검증 후 이식</t>
        </is>
      </c>
    </row>
    <row r="75">
      <c r="A75" s="2" t="inlineStr">
        <is>
          <t>E0302</t>
        </is>
      </c>
      <c r="B75" s="2" t="inlineStr">
        <is>
          <t>Q5_비적용</t>
        </is>
      </c>
      <c r="C75" s="2" t="inlineStr">
        <is>
          <t>광주은행</t>
        </is>
      </c>
      <c r="D75" s="2" t="inlineStr">
        <is>
          <t>여행스케치_남도투어적금</t>
        </is>
      </c>
      <c r="E75" s="2" t="inlineStr">
        <is>
          <t>TD11330030000</t>
        </is>
      </c>
      <c r="F75" s="2" t="inlineStr">
        <is>
          <t>광주은행 '여행스케치_남도투어적금'의 최고 우대금리는 연 3.8%p 이상인가?</t>
        </is>
      </c>
      <c r="G75" s="2" t="inlineStr">
        <is>
          <t>NO</t>
        </is>
      </c>
      <c r="H75" s="2" t="inlineStr">
        <is>
          <t>여행스케치_남도투어적금 || 최고우대금리 1.9%p</t>
        </is>
      </c>
      <c r="I75" s="2" t="inlineStr">
        <is>
          <t>원문 최고 우대금리 '최고우대금리 1.9%p'(=1.9%p) 대비 제시 3.8%p</t>
        </is>
      </c>
      <c r="J75" s="2" t="inlineStr">
        <is>
          <t>KR-FinReg-QA v1 (202607 공시) → 202608 공시로 근거 재검증 후 이식</t>
        </is>
      </c>
    </row>
    <row r="76">
      <c r="A76" s="2" t="inlineStr">
        <is>
          <t>E0304</t>
        </is>
      </c>
      <c r="B76" s="2" t="inlineStr">
        <is>
          <t>Q5_비적용</t>
        </is>
      </c>
      <c r="C76" s="2" t="inlineStr">
        <is>
          <t>아이엠뱅크</t>
        </is>
      </c>
      <c r="D76" s="2" t="inlineStr">
        <is>
          <t>iM함께적금</t>
        </is>
      </c>
      <c r="E76" s="2" t="inlineStr">
        <is>
          <t>10521001001166004</t>
        </is>
      </c>
      <c r="F76" s="2" t="inlineStr">
        <is>
          <t>아이엠뱅크 'iM함께적금'의 최고 우대금리는 연 0.42%p 이상인가?</t>
        </is>
      </c>
      <c r="G76" s="2" t="inlineStr">
        <is>
          <t>YES</t>
        </is>
      </c>
      <c r="H76" s="2" t="inlineStr">
        <is>
          <t>iM함께적금 || 최고우대금리:연0.85%p</t>
        </is>
      </c>
      <c r="I76" s="2" t="inlineStr">
        <is>
          <t>원문 최고 우대금리 '최고우대금리:연0.85%p'(=0.85%p) 대비 제시 0.42%p</t>
        </is>
      </c>
      <c r="J76" s="2" t="inlineStr">
        <is>
          <t>KR-FinReg-QA v1 (202607 공시) → 202608 공시로 근거 재검증 후 이식</t>
        </is>
      </c>
    </row>
    <row r="77">
      <c r="A77" s="2" t="inlineStr">
        <is>
          <t>E0306</t>
        </is>
      </c>
      <c r="B77" s="2" t="inlineStr">
        <is>
          <t>Q5_비적용</t>
        </is>
      </c>
      <c r="C77" s="2" t="inlineStr">
        <is>
          <t>주식회사 케이뱅크</t>
        </is>
      </c>
      <c r="D77" s="2" t="inlineStr">
        <is>
          <t>주거래우대 자유적금</t>
        </is>
      </c>
      <c r="E77" s="2" t="inlineStr">
        <is>
          <t>01012000210000000000</t>
        </is>
      </c>
      <c r="F77" s="2" t="inlineStr">
        <is>
          <t>주식회사 케이뱅크 '주거래우대 자유적금'의 최고 우대금리는 연 1.2%p 이상인가?</t>
        </is>
      </c>
      <c r="G77" s="2" t="inlineStr">
        <is>
          <t>NO</t>
        </is>
      </c>
      <c r="H77" s="2" t="inlineStr">
        <is>
          <t>주거래우대 자유적금 || 최고 연 0.6%</t>
        </is>
      </c>
      <c r="I77" s="2" t="inlineStr">
        <is>
          <t>원문 최고 우대금리 '최고 연 0.6%'(=0.6%p) 대비 제시 1.2%p</t>
        </is>
      </c>
      <c r="J77" s="2" t="inlineStr">
        <is>
          <t>KR-FinReg-QA v1 (202607 공시) → 202608 공시로 근거 재검증 후 이식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5" customWidth="1" min="3" max="3"/>
  </cols>
  <sheetData>
    <row r="1">
      <c r="A1" s="1" t="inlineStr">
        <is>
          <t>서브셋</t>
        </is>
      </c>
      <c r="B1" s="1" t="inlineStr">
        <is>
          <t>문항 수</t>
        </is>
      </c>
      <c r="C1" s="1" t="inlineStr">
        <is>
          <t>비고</t>
        </is>
      </c>
    </row>
    <row r="2">
      <c r="A2" s="2" t="inlineStr">
        <is>
          <t>curated</t>
        </is>
      </c>
      <c r="B2" s="2">
        <f>COUNTA(curated!A:A)-1</f>
        <v/>
      </c>
      <c r="C2" s="2" t="inlineStr">
        <is>
          <t>검색 계층 (근거 재현율) — NEG 2문항 포함</t>
        </is>
      </c>
    </row>
    <row r="3">
      <c r="A3" s="2" t="inlineStr">
        <is>
          <t>mcq</t>
        </is>
      </c>
      <c r="B3" s="2">
        <f>COUNTA(mcq!A:A)-1</f>
        <v/>
      </c>
      <c r="C3" s="2" t="inlineStr">
        <is>
          <t>답변 계층 (결정적 채점)</t>
        </is>
      </c>
    </row>
    <row r="4">
      <c r="A4" s="2" t="inlineStr">
        <is>
          <t>market</t>
        </is>
      </c>
      <c r="B4" s="2">
        <f>COUNTA(market!A:A)-1</f>
        <v/>
      </c>
      <c r="C4" s="2" t="inlineStr">
        <is>
          <t>검색 계층 — 적재 데이터에서 자동 생성</t>
        </is>
      </c>
    </row>
    <row r="5">
      <c r="A5" s="2" t="inlineStr">
        <is>
          <t>krfinreg_bank</t>
        </is>
      </c>
      <c r="B5" s="2">
        <f>COUNTA(krfinreg_bank!A:A)-1</f>
        <v/>
      </c>
      <c r="C5" s="2" t="inlineStr">
        <is>
          <t>검색+답변 계층 (판정형)</t>
        </is>
      </c>
    </row>
    <row r="6">
      <c r="A6" s="2" t="inlineStr">
        <is>
          <t>합계</t>
        </is>
      </c>
      <c r="B6" s="2">
        <f>SUM(B2:B5)</f>
        <v/>
      </c>
      <c r="C6" s="2" t="inlineStr"/>
    </row>
    <row r="7">
      <c r="A7" s="2" t="n"/>
      <c r="B7" s="2" t="n"/>
      <c r="C7" s="2" t="n"/>
    </row>
    <row r="8">
      <c r="A8" s="2" t="inlineStr">
        <is>
          <t>krfinreg_bank 판정 분포</t>
        </is>
      </c>
      <c r="B8" s="2" t="inlineStr"/>
      <c r="C8" s="2" t="inlineStr"/>
    </row>
    <row r="9">
      <c r="A9" s="2" t="inlineStr">
        <is>
          <t>YES</t>
        </is>
      </c>
      <c r="B9" s="2">
        <f>COUNTIF(krfinreg_bank!G:G,"YES")</f>
        <v/>
      </c>
      <c r="C9" s="2" t="inlineStr"/>
    </row>
    <row r="10">
      <c r="A10" s="2" t="inlineStr">
        <is>
          <t>NO</t>
        </is>
      </c>
      <c r="B10" s="2">
        <f>COUNTIF(krfinreg_bank!G:G,"NO")</f>
        <v/>
      </c>
      <c r="C10" s="2" t="inlineStr"/>
    </row>
    <row r="11">
      <c r="A11" s="2" t="inlineStr">
        <is>
          <t>ABSTAIN</t>
        </is>
      </c>
      <c r="B11" s="2">
        <f>COUNTIF(krfinreg_bank!G:G,"ABSTAIN")</f>
        <v/>
      </c>
      <c r="C11" s="2" t="inlineStr"/>
    </row>
    <row r="12">
      <c r="A12" s="2" t="n"/>
      <c r="B12" s="2" t="n"/>
      <c r="C12" s="2" t="n"/>
    </row>
    <row r="13">
      <c r="A13" s="2" t="inlineStr">
        <is>
          <t>krfinreg_bank 그룹 분포</t>
        </is>
      </c>
      <c r="B13" s="2" t="inlineStr"/>
      <c r="C13" s="2" t="inlineStr"/>
    </row>
    <row r="14">
      <c r="A14" s="2" t="inlineStr">
        <is>
          <t>Q1_통제</t>
        </is>
      </c>
      <c r="B14" s="2">
        <f>COUNTIF(krfinreg_bank!B:B,"Q1_통제")</f>
        <v/>
      </c>
      <c r="C14" s="2" t="inlineStr"/>
    </row>
    <row r="15">
      <c r="A15" s="2" t="inlineStr">
        <is>
          <t>Q3_조건</t>
        </is>
      </c>
      <c r="B15" s="2">
        <f>COUNTIF(krfinreg_bank!B:B,"Q3_조건")</f>
        <v/>
      </c>
      <c r="C15" s="2" t="inlineStr"/>
    </row>
    <row r="16">
      <c r="A16" s="2" t="inlineStr">
        <is>
          <t>Q4_부재</t>
        </is>
      </c>
      <c r="B16" s="2">
        <f>COUNTIF(krfinreg_bank!B:B,"Q4_부재")</f>
        <v/>
      </c>
      <c r="C16" s="2" t="inlineStr"/>
    </row>
    <row r="17">
      <c r="A17" s="2" t="inlineStr">
        <is>
          <t>Q5_비적용</t>
        </is>
      </c>
      <c r="B17" s="2">
        <f>COUNTIF(krfinreg_bank!B:B,"Q5_비적용")</f>
        <v/>
      </c>
      <c r="C1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5" customWidth="1" min="4" max="4"/>
    <col width="14" customWidth="1" min="5" max="5"/>
    <col width="32" customWidth="1" min="6" max="6"/>
  </cols>
  <sheetData>
    <row r="1">
      <c r="A1" s="1" t="inlineStr">
        <is>
          <t>서브셋</t>
        </is>
      </c>
      <c r="B1" s="1" t="inlineStr">
        <is>
          <t>지표</t>
        </is>
      </c>
      <c r="C1" s="1" t="inlineStr">
        <is>
          <t>벡터 RAG</t>
        </is>
      </c>
      <c r="D1" s="1" t="inlineStr">
        <is>
          <t>Graph RAG(LPG)</t>
        </is>
      </c>
      <c r="E1" s="1" t="inlineStr">
        <is>
          <t>온톨로지 RAG</t>
        </is>
      </c>
      <c r="F1" s="1" t="inlineStr">
        <is>
          <t>출처</t>
        </is>
      </c>
    </row>
    <row r="2">
      <c r="A2" s="2" t="inlineStr">
        <is>
          <t>curated (18문항)</t>
        </is>
      </c>
      <c r="B2" s="2" t="inlineStr">
        <is>
          <t>근거 재현율</t>
        </is>
      </c>
      <c r="C2" s="3" t="n">
        <v>0.5</v>
      </c>
      <c r="D2" s="3" t="n">
        <v>0.86</v>
      </c>
      <c r="E2" s="3" t="n">
        <v>1</v>
      </c>
      <c r="F2" s="2" t="inlineStr">
        <is>
          <t>docs/benchmark-report.md</t>
        </is>
      </c>
    </row>
    <row r="3">
      <c r="A3" s="2" t="inlineStr">
        <is>
          <t>curated NEG (2문항)</t>
        </is>
      </c>
      <c r="B3" s="2" t="inlineStr">
        <is>
          <t>환각유도 컨텍스트(자/문항)</t>
        </is>
      </c>
      <c r="C3" s="2" t="n">
        <v>2020</v>
      </c>
      <c r="D3" s="2" t="n">
        <v>0</v>
      </c>
      <c r="E3" s="2" t="n">
        <v>0</v>
      </c>
      <c r="F3" s="2" t="inlineStr">
        <is>
          <t>docs/benchmark-report.md</t>
        </is>
      </c>
    </row>
    <row r="4">
      <c r="A4" s="2" t="inlineStr">
        <is>
          <t>market (8문항)</t>
        </is>
      </c>
      <c r="B4" s="2" t="inlineStr">
        <is>
          <t>근거 재현율</t>
        </is>
      </c>
      <c r="C4" s="3" t="n">
        <v>0.12</v>
      </c>
      <c r="D4" s="3" t="n">
        <v>0.78</v>
      </c>
      <c r="E4" s="3" t="n">
        <v>1</v>
      </c>
      <c r="F4" s="2" t="inlineStr">
        <is>
          <t>docs/market-benchmark-report.md</t>
        </is>
      </c>
    </row>
    <row r="5">
      <c r="A5" s="2" t="inlineStr">
        <is>
          <t>krfinreg_bank (판정형 71문항)</t>
        </is>
      </c>
      <c r="B5" s="2" t="inlineStr">
        <is>
          <t>근거 재현율</t>
        </is>
      </c>
      <c r="C5" s="3" t="n">
        <v>0.78</v>
      </c>
      <c r="D5" s="3" t="n">
        <v>1</v>
      </c>
      <c r="E5" s="3" t="n">
        <v>1</v>
      </c>
      <c r="F5" s="2" t="inlineStr">
        <is>
          <t>docs/krfinreg-benchmark-report.md</t>
        </is>
      </c>
    </row>
    <row r="6">
      <c r="A6" s="2" t="inlineStr">
        <is>
          <t>bench-v2 (채점형 880문항)</t>
        </is>
      </c>
      <c r="B6" s="2" t="inlineStr">
        <is>
          <t>근거 재현율</t>
        </is>
      </c>
      <c r="C6" s="3" t="n">
        <v>0.83</v>
      </c>
      <c r="D6" s="3" t="n">
        <v>0.98</v>
      </c>
      <c r="E6" s="3" t="n">
        <v>0.99</v>
      </c>
      <c r="F6" s="2" t="inlineStr">
        <is>
          <t>docs/bench-v2-report.md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주: 검색 계층(LLM 없이 결정적) 결과. 답변 계층(run_answer_eval.py)은 아직 미실행 — ANTHROPIC_API_KEY 필요.</t>
        </is>
      </c>
      <c r="B8" s="2" t="inlineStr"/>
      <c r="C8" s="2" t="inlineStr"/>
      <c r="D8" s="2" t="inlineStr"/>
      <c r="E8" s="2" t="inlineStr"/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2026-08-17T12:19:16Z</dcterms:created>
  <dcterms:modified xmlns:dcterms="http://purl.org/dc/terms/" xmlns:xsi="http://www.w3.org/2001/XMLSchema-instance" xsi:type="dcterms:W3CDTF">2026-08-17T12:19:16Z</dcterms:modified>
</cp:coreProperties>
</file>